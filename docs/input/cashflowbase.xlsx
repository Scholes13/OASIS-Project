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I:\Project\Numbering\docs\input\"/>
    </mc:Choice>
  </mc:AlternateContent>
  <xr:revisionPtr revIDLastSave="0" documentId="8_{057E8C35-C2D3-4BFC-B7B2-B9812A19247B}" xr6:coauthVersionLast="47" xr6:coauthVersionMax="47" xr10:uidLastSave="{00000000-0000-0000-0000-000000000000}"/>
  <bookViews>
    <workbookView xWindow="-120" yWindow="-120" windowWidth="29040" windowHeight="15990" tabRatio="536" activeTab="22" xr2:uid="{991A86BC-ADB4-4D07-93C6-9A2F204EEB2C}"/>
  </bookViews>
  <sheets>
    <sheet name="Graph" sheetId="18" r:id="rId1"/>
    <sheet name="CF Realisasi" sheetId="1" state="hidden" r:id="rId2"/>
    <sheet name="CF Realisasi new" sheetId="30" r:id="rId3"/>
    <sheet name="IN-ACC-Piutang &amp; Revenue" sheetId="2" r:id="rId4"/>
    <sheet name="IN-CFC-Penerimaan PengemPinj" sheetId="17" r:id="rId5"/>
    <sheet name="IN-CFC-Suntikan Modal" sheetId="20" r:id="rId6"/>
    <sheet name="OUT-ACC-PAJAK" sheetId="16" r:id="rId7"/>
    <sheet name="OUT - HR - Gaji &amp; Benefit" sheetId="4" r:id="rId8"/>
    <sheet name="OUT - CFC - Corporate Expenses" sheetId="6" r:id="rId9"/>
    <sheet name="OUT - ACC - Ops Kantor" sheetId="7" r:id="rId10"/>
    <sheet name="OUT-ACS-OPS" sheetId="31" r:id="rId11"/>
    <sheet name="OUT-BAS-OPS" sheetId="32" r:id="rId12"/>
    <sheet name="OUT-BID-OPS" sheetId="33" r:id="rId13"/>
    <sheet name="OUT-CFC-OPS" sheetId="34" r:id="rId14"/>
    <sheet name="OUT-GA-OPS" sheetId="35" r:id="rId15"/>
    <sheet name="OUT-HR-OPS" sheetId="36" r:id="rId16"/>
    <sheet name="OUT-PD-OPS" sheetId="38" r:id="rId17"/>
    <sheet name="OUT-SS-OPS" sheetId="37" r:id="rId18"/>
    <sheet name="OUT-SO-OPS" sheetId="39" r:id="rId19"/>
    <sheet name="OUT-TEP-OPS" sheetId="40" r:id="rId20"/>
    <sheet name="OUT-RESERVASI-OPS" sheetId="41" r:id="rId21"/>
    <sheet name="OUT-TAKSHAKA-OPS" sheetId="42" r:id="rId22"/>
    <sheet name="OUT - CFC - Bunga &amp; Angsuran" sheetId="14" r:id="rId23"/>
    <sheet name="OUT - TEP - Cost Of Revenue" sheetId="3" r:id="rId24"/>
    <sheet name="OUT - CFC - Hutang Usaha" sheetId="5" r:id="rId25"/>
    <sheet name="OUT - HR - Pemberian Pinjaman" sheetId="8" r:id="rId26"/>
    <sheet name="OUT - TEP - Sales Call" sheetId="19" r:id="rId27"/>
    <sheet name="OUT-CFC -Pengem Sunti Modal Own" sheetId="22" r:id="rId28"/>
    <sheet name="OUT - CF.12 Ops All Dept" sheetId="26" state="hidden" r:id="rId29"/>
    <sheet name="IN-Pengem Pinj Pokok" sheetId="25" state="hidden" r:id="rId30"/>
    <sheet name="Saldo 2023" sheetId="23" state="hidden" r:id="rId31"/>
    <sheet name="Saldo 2021" sheetId="11" state="hidden" r:id="rId32"/>
    <sheet name="20mar-BALI" sheetId="29" state="hidden" r:id="rId33"/>
  </sheets>
  <externalReferences>
    <externalReference r:id="rId34"/>
    <externalReference r:id="rId35"/>
    <externalReference r:id="rId36"/>
  </externalReferences>
  <definedNames>
    <definedName name="_xlnm._FilterDatabase" localSheetId="9" hidden="1">'OUT - ACC - Ops Kantor'!$A$11:$T$21</definedName>
    <definedName name="_xlnm._FilterDatabase" localSheetId="28" hidden="1">'OUT - CF.12 Ops All Dept'!$A$11:$D$60</definedName>
    <definedName name="_xlnm._FilterDatabase" localSheetId="24" hidden="1">'OUT - CFC - Hutang Usaha'!$C$9:$CX$9</definedName>
    <definedName name="Cash_minimum" localSheetId="2">'CF Realisasi new'!$B$7</definedName>
    <definedName name="Cash_minimum">'CF Realisasi'!$B$7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C3" i="18"/>
  <c r="D3" i="18"/>
  <c r="E3" i="18"/>
  <c r="A3" i="18"/>
  <c r="X33" i="6" l="1"/>
  <c r="X32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H33" i="6"/>
  <c r="N9" i="6"/>
  <c r="N12" i="6"/>
  <c r="X103" i="5"/>
  <c r="E15" i="36"/>
  <c r="F15" i="36"/>
  <c r="G15" i="36"/>
  <c r="H15" i="36"/>
  <c r="I15" i="36"/>
  <c r="J15" i="36"/>
  <c r="K15" i="36"/>
  <c r="L15" i="36"/>
  <c r="M15" i="36"/>
  <c r="N15" i="36"/>
  <c r="O15" i="36"/>
  <c r="P15" i="36"/>
  <c r="Q15" i="36"/>
  <c r="R15" i="36"/>
  <c r="S15" i="36"/>
  <c r="D15" i="36"/>
  <c r="T9" i="36"/>
  <c r="T10" i="36"/>
  <c r="T11" i="36"/>
  <c r="T12" i="36"/>
  <c r="T8" i="36"/>
  <c r="X7" i="6" l="1"/>
  <c r="E29" i="6"/>
  <c r="E28" i="6"/>
  <c r="E27" i="6"/>
  <c r="E24" i="6"/>
  <c r="E19" i="6"/>
  <c r="E18" i="6"/>
  <c r="E17" i="6"/>
  <c r="E16" i="6"/>
  <c r="E15" i="6"/>
  <c r="E14" i="6"/>
  <c r="E8" i="6"/>
  <c r="N10" i="6"/>
  <c r="E10" i="6"/>
  <c r="B10" i="6"/>
  <c r="B9" i="6"/>
  <c r="B11" i="6"/>
  <c r="E11" i="6" s="1"/>
  <c r="E33" i="6" l="1"/>
  <c r="H27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10" i="3"/>
  <c r="E21" i="3"/>
  <c r="N20" i="3"/>
  <c r="F20" i="3"/>
  <c r="E20" i="3"/>
  <c r="N19" i="3"/>
  <c r="F19" i="3"/>
  <c r="E19" i="3"/>
  <c r="F18" i="3"/>
  <c r="E18" i="3"/>
  <c r="E17" i="3"/>
  <c r="L16" i="3"/>
  <c r="F16" i="3"/>
  <c r="E16" i="3"/>
  <c r="U15" i="3"/>
  <c r="F15" i="3"/>
  <c r="E15" i="3"/>
  <c r="H14" i="3"/>
  <c r="F14" i="3"/>
  <c r="E14" i="3"/>
  <c r="E13" i="3"/>
  <c r="E12" i="3"/>
  <c r="E11" i="3"/>
  <c r="R37" i="30"/>
  <c r="X63" i="5"/>
  <c r="X64" i="5"/>
  <c r="X65" i="5"/>
  <c r="X66" i="5"/>
  <c r="X67" i="5"/>
  <c r="X68" i="5"/>
  <c r="X80" i="5"/>
  <c r="X81" i="5"/>
  <c r="X82" i="5"/>
  <c r="X83" i="5"/>
  <c r="X84" i="5"/>
  <c r="X96" i="5"/>
  <c r="X97" i="5"/>
  <c r="X98" i="5"/>
  <c r="X99" i="5"/>
  <c r="X100" i="5"/>
  <c r="I103" i="5"/>
  <c r="D37" i="30" s="1"/>
  <c r="J103" i="5"/>
  <c r="E37" i="30" s="1"/>
  <c r="M103" i="5"/>
  <c r="H37" i="30" s="1"/>
  <c r="O103" i="5"/>
  <c r="J37" i="30" s="1"/>
  <c r="P103" i="5"/>
  <c r="K37" i="30" s="1"/>
  <c r="Q103" i="5"/>
  <c r="L37" i="30" s="1"/>
  <c r="R103" i="5"/>
  <c r="M37" i="30" s="1"/>
  <c r="S103" i="5"/>
  <c r="N37" i="30" s="1"/>
  <c r="T103" i="5"/>
  <c r="O37" i="30" s="1"/>
  <c r="U103" i="5"/>
  <c r="P37" i="30" s="1"/>
  <c r="V103" i="5"/>
  <c r="Q37" i="30" s="1"/>
  <c r="W103" i="5"/>
  <c r="H103" i="5"/>
  <c r="C37" i="30" s="1"/>
  <c r="U102" i="5"/>
  <c r="X102" i="5" s="1"/>
  <c r="U101" i="5"/>
  <c r="X101" i="5" s="1"/>
  <c r="U100" i="5"/>
  <c r="U99" i="5"/>
  <c r="U98" i="5"/>
  <c r="U97" i="5"/>
  <c r="U96" i="5"/>
  <c r="U95" i="5"/>
  <c r="X95" i="5" s="1"/>
  <c r="U94" i="5"/>
  <c r="X94" i="5" s="1"/>
  <c r="U93" i="5"/>
  <c r="X93" i="5" s="1"/>
  <c r="U92" i="5"/>
  <c r="X92" i="5" s="1"/>
  <c r="U91" i="5"/>
  <c r="X91" i="5" s="1"/>
  <c r="U90" i="5"/>
  <c r="X90" i="5" s="1"/>
  <c r="S89" i="5"/>
  <c r="X89" i="5" s="1"/>
  <c r="S88" i="5"/>
  <c r="X88" i="5" s="1"/>
  <c r="S87" i="5"/>
  <c r="X87" i="5" s="1"/>
  <c r="S86" i="5"/>
  <c r="X86" i="5" s="1"/>
  <c r="S85" i="5"/>
  <c r="X85" i="5" s="1"/>
  <c r="S84" i="5"/>
  <c r="S83" i="5"/>
  <c r="S82" i="5"/>
  <c r="S81" i="5"/>
  <c r="S80" i="5"/>
  <c r="S79" i="5"/>
  <c r="X79" i="5" s="1"/>
  <c r="S78" i="5"/>
  <c r="X78" i="5" s="1"/>
  <c r="N77" i="5"/>
  <c r="X77" i="5" s="1"/>
  <c r="N76" i="5"/>
  <c r="X76" i="5" s="1"/>
  <c r="N75" i="5"/>
  <c r="X75" i="5" s="1"/>
  <c r="N74" i="5"/>
  <c r="X74" i="5" s="1"/>
  <c r="N73" i="5"/>
  <c r="X73" i="5" s="1"/>
  <c r="N72" i="5"/>
  <c r="X72" i="5" s="1"/>
  <c r="N71" i="5"/>
  <c r="X71" i="5" s="1"/>
  <c r="N70" i="5"/>
  <c r="X70" i="5" s="1"/>
  <c r="N69" i="5"/>
  <c r="X69" i="5" s="1"/>
  <c r="N68" i="5"/>
  <c r="N67" i="5"/>
  <c r="N66" i="5"/>
  <c r="N65" i="5"/>
  <c r="N64" i="5"/>
  <c r="N63" i="5"/>
  <c r="N62" i="5"/>
  <c r="N103" i="5" s="1"/>
  <c r="I37" i="30" s="1"/>
  <c r="D61" i="5"/>
  <c r="L61" i="5" s="1"/>
  <c r="X61" i="5" s="1"/>
  <c r="X60" i="5"/>
  <c r="K59" i="5"/>
  <c r="X59" i="5" s="1"/>
  <c r="L58" i="5"/>
  <c r="X58" i="5" s="1"/>
  <c r="L57" i="5"/>
  <c r="X57" i="5" s="1"/>
  <c r="L56" i="5"/>
  <c r="X56" i="5" s="1"/>
  <c r="L55" i="5"/>
  <c r="X55" i="5" s="1"/>
  <c r="L54" i="5"/>
  <c r="X54" i="5" s="1"/>
  <c r="L53" i="5"/>
  <c r="X53" i="5" s="1"/>
  <c r="L52" i="5"/>
  <c r="X52" i="5" s="1"/>
  <c r="L51" i="5"/>
  <c r="X51" i="5" s="1"/>
  <c r="L50" i="5"/>
  <c r="X50" i="5" s="1"/>
  <c r="K49" i="5"/>
  <c r="X49" i="5" s="1"/>
  <c r="L48" i="5"/>
  <c r="X48" i="5" s="1"/>
  <c r="L47" i="5"/>
  <c r="X47" i="5" s="1"/>
  <c r="L46" i="5"/>
  <c r="X46" i="5" s="1"/>
  <c r="L45" i="5"/>
  <c r="X45" i="5" s="1"/>
  <c r="L44" i="5"/>
  <c r="X44" i="5" s="1"/>
  <c r="L43" i="5"/>
  <c r="X43" i="5" s="1"/>
  <c r="L42" i="5"/>
  <c r="X42" i="5" s="1"/>
  <c r="L41" i="5"/>
  <c r="X41" i="5" s="1"/>
  <c r="L40" i="5"/>
  <c r="X40" i="5" s="1"/>
  <c r="L39" i="5"/>
  <c r="X39" i="5" s="1"/>
  <c r="L38" i="5"/>
  <c r="X38" i="5" s="1"/>
  <c r="L37" i="5"/>
  <c r="X37" i="5" s="1"/>
  <c r="L36" i="5"/>
  <c r="X36" i="5" s="1"/>
  <c r="L35" i="5"/>
  <c r="X35" i="5" s="1"/>
  <c r="L34" i="5"/>
  <c r="X34" i="5" s="1"/>
  <c r="L33" i="5"/>
  <c r="X33" i="5" s="1"/>
  <c r="L32" i="5"/>
  <c r="X32" i="5" s="1"/>
  <c r="L31" i="5"/>
  <c r="X31" i="5" s="1"/>
  <c r="L30" i="5"/>
  <c r="X30" i="5" s="1"/>
  <c r="L29" i="5"/>
  <c r="X29" i="5" s="1"/>
  <c r="L28" i="5"/>
  <c r="X28" i="5" s="1"/>
  <c r="L27" i="5"/>
  <c r="X27" i="5" s="1"/>
  <c r="L26" i="5"/>
  <c r="X26" i="5" s="1"/>
  <c r="L25" i="5"/>
  <c r="X25" i="5" s="1"/>
  <c r="L24" i="5"/>
  <c r="X24" i="5" s="1"/>
  <c r="L23" i="5"/>
  <c r="X23" i="5" s="1"/>
  <c r="L22" i="5"/>
  <c r="X22" i="5" s="1"/>
  <c r="L21" i="5"/>
  <c r="X21" i="5" s="1"/>
  <c r="L20" i="5"/>
  <c r="X20" i="5" s="1"/>
  <c r="L19" i="5"/>
  <c r="X19" i="5" s="1"/>
  <c r="L18" i="5"/>
  <c r="X18" i="5" s="1"/>
  <c r="L17" i="5"/>
  <c r="X17" i="5" s="1"/>
  <c r="L16" i="5"/>
  <c r="X16" i="5" s="1"/>
  <c r="L15" i="5"/>
  <c r="X15" i="5" s="1"/>
  <c r="L14" i="5"/>
  <c r="X14" i="5" s="1"/>
  <c r="L13" i="5"/>
  <c r="X13" i="5" s="1"/>
  <c r="L12" i="5"/>
  <c r="X12" i="5" s="1"/>
  <c r="L11" i="5"/>
  <c r="X11" i="5" s="1"/>
  <c r="L10" i="5"/>
  <c r="X10" i="5" s="1"/>
  <c r="U29" i="2"/>
  <c r="U30" i="2"/>
  <c r="N38" i="30"/>
  <c r="O38" i="30"/>
  <c r="P38" i="30"/>
  <c r="Q38" i="30"/>
  <c r="R38" i="30"/>
  <c r="D38" i="30"/>
  <c r="E38" i="30"/>
  <c r="F38" i="30"/>
  <c r="G38" i="30"/>
  <c r="H38" i="30"/>
  <c r="I38" i="30"/>
  <c r="J38" i="30"/>
  <c r="K38" i="30"/>
  <c r="L38" i="30"/>
  <c r="M38" i="30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X62" i="5" l="1"/>
  <c r="K103" i="5"/>
  <c r="F37" i="30" s="1"/>
  <c r="D103" i="5"/>
  <c r="L103" i="5"/>
  <c r="G37" i="30" s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7" i="2"/>
  <c r="C3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C26" i="30"/>
  <c r="C21" i="30"/>
  <c r="E35" i="16"/>
  <c r="D19" i="30" s="1"/>
  <c r="F35" i="16"/>
  <c r="E19" i="30" s="1"/>
  <c r="G35" i="16"/>
  <c r="F19" i="30" s="1"/>
  <c r="H35" i="16"/>
  <c r="G19" i="30" s="1"/>
  <c r="I35" i="16"/>
  <c r="H19" i="30" s="1"/>
  <c r="J35" i="16"/>
  <c r="K35" i="16"/>
  <c r="L35" i="16"/>
  <c r="M35" i="16"/>
  <c r="L19" i="30" s="1"/>
  <c r="N35" i="16"/>
  <c r="O35" i="16"/>
  <c r="N19" i="30" s="1"/>
  <c r="P35" i="16"/>
  <c r="O19" i="30" s="1"/>
  <c r="Q35" i="16"/>
  <c r="P19" i="30" s="1"/>
  <c r="R35" i="16"/>
  <c r="Q19" i="30" s="1"/>
  <c r="S35" i="16"/>
  <c r="R19" i="30" s="1"/>
  <c r="D35" i="16"/>
  <c r="C19" i="30" s="1"/>
  <c r="I19" i="30"/>
  <c r="J19" i="30"/>
  <c r="K19" i="30"/>
  <c r="M19" i="30"/>
  <c r="T8" i="16"/>
  <c r="T9" i="16"/>
  <c r="T10" i="16"/>
  <c r="T11" i="16"/>
  <c r="T12" i="16"/>
  <c r="T13" i="16"/>
  <c r="T14" i="16"/>
  <c r="T7" i="16"/>
  <c r="T35" i="16" l="1"/>
  <c r="T9" i="35"/>
  <c r="T10" i="35"/>
  <c r="T11" i="35"/>
  <c r="T12" i="35"/>
  <c r="T13" i="35"/>
  <c r="T14" i="35"/>
  <c r="T15" i="35"/>
  <c r="T16" i="35"/>
  <c r="T17" i="35"/>
  <c r="T18" i="35"/>
  <c r="T19" i="35"/>
  <c r="T20" i="35"/>
  <c r="T21" i="35"/>
  <c r="T22" i="35"/>
  <c r="T23" i="35"/>
  <c r="T24" i="35"/>
  <c r="T25" i="35"/>
  <c r="T8" i="35"/>
  <c r="X23" i="6" l="1"/>
  <c r="X24" i="6"/>
  <c r="X25" i="6"/>
  <c r="X26" i="6"/>
  <c r="X17" i="6"/>
  <c r="X18" i="6"/>
  <c r="X19" i="6"/>
  <c r="X20" i="6"/>
  <c r="X21" i="6"/>
  <c r="X22" i="6"/>
  <c r="X9" i="6"/>
  <c r="X10" i="6"/>
  <c r="X11" i="6"/>
  <c r="X12" i="6"/>
  <c r="X13" i="6"/>
  <c r="X14" i="6"/>
  <c r="X15" i="6"/>
  <c r="X16" i="6"/>
  <c r="X8" i="6"/>
  <c r="X27" i="6"/>
  <c r="D21" i="30"/>
  <c r="E21" i="30"/>
  <c r="F21" i="30"/>
  <c r="H21" i="30"/>
  <c r="J21" i="30"/>
  <c r="K21" i="30"/>
  <c r="L21" i="30"/>
  <c r="M21" i="30"/>
  <c r="O21" i="30"/>
  <c r="Q21" i="30"/>
  <c r="R21" i="30"/>
  <c r="G21" i="30" l="1"/>
  <c r="I21" i="30" l="1"/>
  <c r="N21" i="30" l="1"/>
  <c r="P21" i="30"/>
  <c r="S51" i="30"/>
  <c r="E18" i="4" l="1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R20" i="30" s="1"/>
  <c r="D18" i="4"/>
  <c r="T8" i="4"/>
  <c r="T9" i="4"/>
  <c r="T10" i="4"/>
  <c r="T11" i="4"/>
  <c r="T12" i="4"/>
  <c r="T13" i="4"/>
  <c r="T14" i="4"/>
  <c r="T15" i="4"/>
  <c r="T16" i="4"/>
  <c r="T17" i="4"/>
  <c r="T7" i="4"/>
  <c r="T34" i="16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D12" i="20"/>
  <c r="D40" i="30"/>
  <c r="E40" i="30"/>
  <c r="F40" i="30"/>
  <c r="G40" i="30"/>
  <c r="H40" i="30"/>
  <c r="I40" i="30"/>
  <c r="J40" i="30"/>
  <c r="K40" i="30"/>
  <c r="L40" i="30"/>
  <c r="M40" i="30"/>
  <c r="N40" i="30"/>
  <c r="S40" i="30" s="1"/>
  <c r="O40" i="30"/>
  <c r="P40" i="30"/>
  <c r="Q40" i="30"/>
  <c r="R40" i="30"/>
  <c r="T8" i="20"/>
  <c r="T12" i="20" s="1"/>
  <c r="T9" i="20"/>
  <c r="T10" i="20"/>
  <c r="T11" i="20"/>
  <c r="T7" i="20"/>
  <c r="C40" i="30"/>
  <c r="D39" i="30"/>
  <c r="E39" i="30"/>
  <c r="F39" i="30"/>
  <c r="S39" i="30" s="1"/>
  <c r="G39" i="30"/>
  <c r="H39" i="30"/>
  <c r="I39" i="30"/>
  <c r="J39" i="30"/>
  <c r="K39" i="30"/>
  <c r="L39" i="30"/>
  <c r="M39" i="30"/>
  <c r="N39" i="30"/>
  <c r="O39" i="30"/>
  <c r="P39" i="30"/>
  <c r="Q39" i="30"/>
  <c r="R39" i="30"/>
  <c r="C39" i="30"/>
  <c r="C38" i="30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D19" i="17"/>
  <c r="T19" i="17"/>
  <c r="T8" i="17"/>
  <c r="T9" i="17"/>
  <c r="T10" i="17"/>
  <c r="T11" i="17"/>
  <c r="T12" i="17"/>
  <c r="T13" i="17"/>
  <c r="T14" i="17"/>
  <c r="T15" i="17"/>
  <c r="T16" i="17"/>
  <c r="T17" i="17"/>
  <c r="T18" i="17"/>
  <c r="T7" i="17"/>
  <c r="N13" i="30"/>
  <c r="N16" i="30" s="1"/>
  <c r="O13" i="30"/>
  <c r="O16" i="30" s="1"/>
  <c r="Q13" i="30"/>
  <c r="Q16" i="30" s="1"/>
  <c r="R13" i="30"/>
  <c r="R16" i="30" s="1"/>
  <c r="C36" i="30"/>
  <c r="U49" i="2"/>
  <c r="U50" i="2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C35" i="30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D12" i="22"/>
  <c r="T12" i="22"/>
  <c r="T8" i="22"/>
  <c r="T9" i="22"/>
  <c r="T10" i="22"/>
  <c r="T11" i="22"/>
  <c r="T7" i="22"/>
  <c r="S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D12" i="19"/>
  <c r="T12" i="19"/>
  <c r="T8" i="19"/>
  <c r="T9" i="19"/>
  <c r="T10" i="19"/>
  <c r="T11" i="19"/>
  <c r="T7" i="19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D12" i="8"/>
  <c r="T12" i="8"/>
  <c r="T7" i="8"/>
  <c r="T8" i="8"/>
  <c r="T9" i="8"/>
  <c r="T10" i="8"/>
  <c r="T11" i="8"/>
  <c r="L12" i="33"/>
  <c r="T8" i="33"/>
  <c r="E18" i="32"/>
  <c r="F18" i="32"/>
  <c r="G18" i="32"/>
  <c r="H18" i="32"/>
  <c r="I18" i="32"/>
  <c r="J18" i="32"/>
  <c r="K18" i="32"/>
  <c r="L18" i="32"/>
  <c r="M18" i="32"/>
  <c r="N18" i="32"/>
  <c r="O18" i="32"/>
  <c r="P18" i="32"/>
  <c r="Q18" i="32"/>
  <c r="R18" i="32"/>
  <c r="S18" i="32"/>
  <c r="D18" i="32"/>
  <c r="T18" i="32"/>
  <c r="T8" i="32"/>
  <c r="T9" i="32"/>
  <c r="T10" i="32"/>
  <c r="T11" i="32"/>
  <c r="T12" i="32"/>
  <c r="T13" i="32"/>
  <c r="T14" i="32"/>
  <c r="T15" i="32"/>
  <c r="T16" i="32"/>
  <c r="T17" i="32"/>
  <c r="T7" i="32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D18" i="31"/>
  <c r="T18" i="31"/>
  <c r="T9" i="31"/>
  <c r="T8" i="31"/>
  <c r="T10" i="31"/>
  <c r="T11" i="31"/>
  <c r="T12" i="31"/>
  <c r="T13" i="31"/>
  <c r="T14" i="31"/>
  <c r="T15" i="31"/>
  <c r="T16" i="31"/>
  <c r="T17" i="31"/>
  <c r="T7" i="31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D21" i="7"/>
  <c r="T21" i="7"/>
  <c r="T11" i="7"/>
  <c r="T12" i="7"/>
  <c r="T13" i="7"/>
  <c r="T14" i="7"/>
  <c r="T15" i="7"/>
  <c r="T16" i="7"/>
  <c r="T17" i="7"/>
  <c r="T18" i="7"/>
  <c r="T19" i="7"/>
  <c r="T20" i="7"/>
  <c r="T10" i="7"/>
  <c r="X28" i="6"/>
  <c r="X29" i="6"/>
  <c r="X30" i="6"/>
  <c r="X31" i="6"/>
  <c r="D25" i="30"/>
  <c r="E25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C25" i="30"/>
  <c r="T9" i="33"/>
  <c r="T10" i="33"/>
  <c r="T11" i="33"/>
  <c r="D24" i="30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C24" i="30"/>
  <c r="T12" i="33"/>
  <c r="D23" i="30"/>
  <c r="E23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E12" i="33"/>
  <c r="F12" i="33"/>
  <c r="G12" i="33"/>
  <c r="H12" i="33"/>
  <c r="I12" i="33"/>
  <c r="J12" i="33"/>
  <c r="K12" i="33"/>
  <c r="M12" i="33"/>
  <c r="N12" i="33"/>
  <c r="O12" i="33"/>
  <c r="P12" i="33"/>
  <c r="Q12" i="33"/>
  <c r="R12" i="33"/>
  <c r="S12" i="33"/>
  <c r="C23" i="30"/>
  <c r="D12" i="33"/>
  <c r="D22" i="30"/>
  <c r="E22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C22" i="30"/>
  <c r="D20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C20" i="30"/>
  <c r="T8" i="34"/>
  <c r="T9" i="34"/>
  <c r="T10" i="34"/>
  <c r="T11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D26" i="35"/>
  <c r="C27" i="30" s="1"/>
  <c r="E26" i="35"/>
  <c r="D27" i="30" s="1"/>
  <c r="F26" i="35"/>
  <c r="E27" i="30" s="1"/>
  <c r="G26" i="35"/>
  <c r="F27" i="30" s="1"/>
  <c r="H26" i="35"/>
  <c r="G27" i="30" s="1"/>
  <c r="I26" i="35"/>
  <c r="H27" i="30" s="1"/>
  <c r="J26" i="35"/>
  <c r="I27" i="30" s="1"/>
  <c r="K26" i="35"/>
  <c r="J27" i="30" s="1"/>
  <c r="L26" i="35"/>
  <c r="K27" i="30" s="1"/>
  <c r="M26" i="35"/>
  <c r="L27" i="30" s="1"/>
  <c r="N26" i="35"/>
  <c r="M27" i="30" s="1"/>
  <c r="O26" i="35"/>
  <c r="N27" i="30" s="1"/>
  <c r="P26" i="35"/>
  <c r="O27" i="30" s="1"/>
  <c r="Q26" i="35"/>
  <c r="P27" i="30" s="1"/>
  <c r="R26" i="35"/>
  <c r="Q27" i="30" s="1"/>
  <c r="S26" i="35"/>
  <c r="R27" i="30" s="1"/>
  <c r="T13" i="36"/>
  <c r="T14" i="36"/>
  <c r="C28" i="30"/>
  <c r="D28" i="30"/>
  <c r="E28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T8" i="38"/>
  <c r="T9" i="38"/>
  <c r="T10" i="38"/>
  <c r="T11" i="38"/>
  <c r="D12" i="38"/>
  <c r="C29" i="30" s="1"/>
  <c r="E12" i="38"/>
  <c r="D29" i="30" s="1"/>
  <c r="F12" i="38"/>
  <c r="E29" i="30" s="1"/>
  <c r="G12" i="38"/>
  <c r="F29" i="30" s="1"/>
  <c r="H12" i="38"/>
  <c r="G29" i="30" s="1"/>
  <c r="I12" i="38"/>
  <c r="H29" i="30" s="1"/>
  <c r="J12" i="38"/>
  <c r="I29" i="30" s="1"/>
  <c r="K12" i="38"/>
  <c r="J29" i="30" s="1"/>
  <c r="L12" i="38"/>
  <c r="K29" i="30" s="1"/>
  <c r="M12" i="38"/>
  <c r="L29" i="30" s="1"/>
  <c r="N12" i="38"/>
  <c r="M29" i="30" s="1"/>
  <c r="O12" i="38"/>
  <c r="N29" i="30" s="1"/>
  <c r="P12" i="38"/>
  <c r="O29" i="30" s="1"/>
  <c r="Q12" i="38"/>
  <c r="P29" i="30" s="1"/>
  <c r="R12" i="38"/>
  <c r="Q29" i="30" s="1"/>
  <c r="S12" i="38"/>
  <c r="R29" i="30" s="1"/>
  <c r="T12" i="38"/>
  <c r="T8" i="37"/>
  <c r="T9" i="37"/>
  <c r="T10" i="37"/>
  <c r="T11" i="37"/>
  <c r="D12" i="37"/>
  <c r="C30" i="30" s="1"/>
  <c r="E12" i="37"/>
  <c r="D30" i="30" s="1"/>
  <c r="F12" i="37"/>
  <c r="E30" i="30" s="1"/>
  <c r="G12" i="37"/>
  <c r="F30" i="30" s="1"/>
  <c r="H12" i="37"/>
  <c r="G30" i="30" s="1"/>
  <c r="I12" i="37"/>
  <c r="H30" i="30" s="1"/>
  <c r="J12" i="37"/>
  <c r="I30" i="30" s="1"/>
  <c r="K12" i="37"/>
  <c r="J30" i="30" s="1"/>
  <c r="L12" i="37"/>
  <c r="K30" i="30" s="1"/>
  <c r="M12" i="37"/>
  <c r="L30" i="30" s="1"/>
  <c r="N12" i="37"/>
  <c r="M30" i="30" s="1"/>
  <c r="O12" i="37"/>
  <c r="N30" i="30" s="1"/>
  <c r="P12" i="37"/>
  <c r="O30" i="30" s="1"/>
  <c r="Q12" i="37"/>
  <c r="P30" i="30" s="1"/>
  <c r="R12" i="37"/>
  <c r="Q30" i="30" s="1"/>
  <c r="S12" i="37"/>
  <c r="R30" i="30" s="1"/>
  <c r="T12" i="37"/>
  <c r="T8" i="39"/>
  <c r="T9" i="39"/>
  <c r="T10" i="39"/>
  <c r="T11" i="39"/>
  <c r="D12" i="39"/>
  <c r="C31" i="30" s="1"/>
  <c r="E12" i="39"/>
  <c r="D31" i="30" s="1"/>
  <c r="F12" i="39"/>
  <c r="E31" i="30" s="1"/>
  <c r="G12" i="39"/>
  <c r="F31" i="30" s="1"/>
  <c r="H12" i="39"/>
  <c r="G31" i="30" s="1"/>
  <c r="I12" i="39"/>
  <c r="H31" i="30" s="1"/>
  <c r="J12" i="39"/>
  <c r="I31" i="30" s="1"/>
  <c r="K12" i="39"/>
  <c r="J31" i="30" s="1"/>
  <c r="L12" i="39"/>
  <c r="K31" i="30" s="1"/>
  <c r="M12" i="39"/>
  <c r="L31" i="30" s="1"/>
  <c r="N12" i="39"/>
  <c r="M31" i="30" s="1"/>
  <c r="O12" i="39"/>
  <c r="N31" i="30" s="1"/>
  <c r="P12" i="39"/>
  <c r="O31" i="30" s="1"/>
  <c r="Q12" i="39"/>
  <c r="P31" i="30" s="1"/>
  <c r="R12" i="39"/>
  <c r="Q31" i="30" s="1"/>
  <c r="S12" i="39"/>
  <c r="R31" i="30" s="1"/>
  <c r="T12" i="39"/>
  <c r="T8" i="40"/>
  <c r="T9" i="40"/>
  <c r="T10" i="40"/>
  <c r="T11" i="40"/>
  <c r="D12" i="40"/>
  <c r="C32" i="30" s="1"/>
  <c r="E12" i="40"/>
  <c r="D32" i="30" s="1"/>
  <c r="F12" i="40"/>
  <c r="E32" i="30" s="1"/>
  <c r="G12" i="40"/>
  <c r="F32" i="30" s="1"/>
  <c r="H12" i="40"/>
  <c r="G32" i="30" s="1"/>
  <c r="I12" i="40"/>
  <c r="H32" i="30" s="1"/>
  <c r="J12" i="40"/>
  <c r="I32" i="30" s="1"/>
  <c r="K12" i="40"/>
  <c r="J32" i="30" s="1"/>
  <c r="L12" i="40"/>
  <c r="K32" i="30" s="1"/>
  <c r="M12" i="40"/>
  <c r="L32" i="30" s="1"/>
  <c r="N12" i="40"/>
  <c r="M32" i="30" s="1"/>
  <c r="O12" i="40"/>
  <c r="N32" i="30" s="1"/>
  <c r="P12" i="40"/>
  <c r="O32" i="30" s="1"/>
  <c r="Q12" i="40"/>
  <c r="P32" i="30" s="1"/>
  <c r="R12" i="40"/>
  <c r="Q32" i="30" s="1"/>
  <c r="S12" i="40"/>
  <c r="R32" i="30" s="1"/>
  <c r="T12" i="4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C15" i="30"/>
  <c r="T8" i="41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T9" i="41"/>
  <c r="T10" i="41"/>
  <c r="T11" i="41"/>
  <c r="D12" i="41"/>
  <c r="C33" i="30" s="1"/>
  <c r="E12" i="41"/>
  <c r="D33" i="30" s="1"/>
  <c r="F12" i="41"/>
  <c r="E33" i="30" s="1"/>
  <c r="G12" i="41"/>
  <c r="F33" i="30" s="1"/>
  <c r="H12" i="41"/>
  <c r="G33" i="30" s="1"/>
  <c r="I12" i="41"/>
  <c r="H33" i="30" s="1"/>
  <c r="J12" i="41"/>
  <c r="I33" i="30" s="1"/>
  <c r="K12" i="41"/>
  <c r="J33" i="30" s="1"/>
  <c r="L12" i="41"/>
  <c r="K33" i="30" s="1"/>
  <c r="M12" i="41"/>
  <c r="L33" i="30" s="1"/>
  <c r="N12" i="41"/>
  <c r="M33" i="30" s="1"/>
  <c r="O12" i="41"/>
  <c r="N33" i="30" s="1"/>
  <c r="P12" i="41"/>
  <c r="O33" i="30" s="1"/>
  <c r="Q12" i="41"/>
  <c r="P33" i="30" s="1"/>
  <c r="R12" i="41"/>
  <c r="Q33" i="30" s="1"/>
  <c r="S12" i="41"/>
  <c r="R33" i="30" s="1"/>
  <c r="T12" i="41"/>
  <c r="C14" i="30"/>
  <c r="D13" i="30"/>
  <c r="D16" i="30" s="1"/>
  <c r="E13" i="30"/>
  <c r="E16" i="30" s="1"/>
  <c r="F13" i="30"/>
  <c r="F16" i="30" s="1"/>
  <c r="G13" i="30"/>
  <c r="G16" i="30" s="1"/>
  <c r="H13" i="30"/>
  <c r="H16" i="30" s="1"/>
  <c r="I13" i="30"/>
  <c r="I16" i="30" s="1"/>
  <c r="J13" i="30"/>
  <c r="J16" i="30" s="1"/>
  <c r="K13" i="30"/>
  <c r="K16" i="30" s="1"/>
  <c r="L13" i="30"/>
  <c r="L16" i="30" s="1"/>
  <c r="M13" i="30"/>
  <c r="M16" i="30" s="1"/>
  <c r="P13" i="30"/>
  <c r="P16" i="30" s="1"/>
  <c r="T9" i="42"/>
  <c r="T10" i="42"/>
  <c r="T11" i="42"/>
  <c r="C13" i="30"/>
  <c r="T8" i="42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C4" i="17"/>
  <c r="C4" i="20"/>
  <c r="C4" i="16"/>
  <c r="S12" i="42"/>
  <c r="R34" i="30" s="1"/>
  <c r="R12" i="42"/>
  <c r="Q34" i="30" s="1"/>
  <c r="Q12" i="42"/>
  <c r="P34" i="30" s="1"/>
  <c r="P12" i="42"/>
  <c r="O34" i="30" s="1"/>
  <c r="O12" i="42"/>
  <c r="N34" i="30" s="1"/>
  <c r="N12" i="42"/>
  <c r="M34" i="30" s="1"/>
  <c r="M12" i="42"/>
  <c r="L34" i="30" s="1"/>
  <c r="L12" i="42"/>
  <c r="K34" i="30" s="1"/>
  <c r="K12" i="42"/>
  <c r="J34" i="30" s="1"/>
  <c r="J12" i="42"/>
  <c r="I34" i="30" s="1"/>
  <c r="I12" i="42"/>
  <c r="H34" i="30" s="1"/>
  <c r="H12" i="42"/>
  <c r="G34" i="30" s="1"/>
  <c r="G12" i="42"/>
  <c r="F34" i="30" s="1"/>
  <c r="F12" i="42"/>
  <c r="E34" i="30" s="1"/>
  <c r="E12" i="42"/>
  <c r="D34" i="30" s="1"/>
  <c r="D12" i="42"/>
  <c r="S63" i="30"/>
  <c r="S62" i="30"/>
  <c r="S60" i="30"/>
  <c r="S59" i="30"/>
  <c r="S58" i="30"/>
  <c r="S57" i="30"/>
  <c r="S56" i="30"/>
  <c r="S55" i="30"/>
  <c r="S54" i="30"/>
  <c r="S50" i="30"/>
  <c r="S49" i="30"/>
  <c r="S48" i="30"/>
  <c r="S47" i="30"/>
  <c r="S46" i="30"/>
  <c r="S45" i="30"/>
  <c r="S44" i="30"/>
  <c r="S43" i="30"/>
  <c r="S41" i="30"/>
  <c r="J26" i="1"/>
  <c r="L26" i="1"/>
  <c r="Z26" i="1"/>
  <c r="AB26" i="1"/>
  <c r="AP26" i="1"/>
  <c r="AR26" i="1"/>
  <c r="AS26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D22" i="1"/>
  <c r="B10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G26" i="1"/>
  <c r="I26" i="1"/>
  <c r="K26" i="1"/>
  <c r="N26" i="1"/>
  <c r="P26" i="1"/>
  <c r="Q26" i="1"/>
  <c r="R26" i="1"/>
  <c r="S26" i="1"/>
  <c r="U26" i="1"/>
  <c r="W26" i="1"/>
  <c r="X26" i="1"/>
  <c r="Y26" i="1"/>
  <c r="AA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Q26" i="1"/>
  <c r="AT26" i="1"/>
  <c r="AU26" i="1"/>
  <c r="AW26" i="1"/>
  <c r="AX26" i="1"/>
  <c r="E26" i="1"/>
  <c r="C10" i="1"/>
  <c r="E80" i="26"/>
  <c r="C16" i="30" l="1"/>
  <c r="T15" i="36"/>
  <c r="U51" i="2"/>
  <c r="T26" i="35"/>
  <c r="S26" i="30"/>
  <c r="C42" i="30"/>
  <c r="C10" i="30" s="1"/>
  <c r="S24" i="30"/>
  <c r="S23" i="30"/>
  <c r="C34" i="30"/>
  <c r="S34" i="30" s="1"/>
  <c r="T12" i="42"/>
  <c r="S33" i="30"/>
  <c r="S32" i="30"/>
  <c r="S31" i="30"/>
  <c r="S30" i="30"/>
  <c r="S29" i="30"/>
  <c r="S28" i="30"/>
  <c r="S27" i="30"/>
  <c r="S25" i="30"/>
  <c r="S14" i="30"/>
  <c r="S15" i="30"/>
  <c r="S20" i="30"/>
  <c r="S21" i="30"/>
  <c r="S22" i="30"/>
  <c r="S35" i="30"/>
  <c r="S37" i="30"/>
  <c r="F26" i="1"/>
  <c r="H26" i="1"/>
  <c r="M26" i="1"/>
  <c r="O26" i="1"/>
  <c r="T26" i="1"/>
  <c r="V26" i="1"/>
  <c r="AC26" i="1"/>
  <c r="AV26" i="1"/>
  <c r="AY21" i="1"/>
  <c r="D26" i="1" l="1"/>
  <c r="C26" i="1"/>
  <c r="C25" i="1"/>
  <c r="D25" i="1"/>
  <c r="F25" i="1"/>
  <c r="G25" i="1"/>
  <c r="H25" i="1"/>
  <c r="I25" i="1"/>
  <c r="J25" i="1"/>
  <c r="K25" i="1"/>
  <c r="M25" i="1"/>
  <c r="N25" i="1"/>
  <c r="O25" i="1"/>
  <c r="P25" i="1"/>
  <c r="Q25" i="1"/>
  <c r="R25" i="1"/>
  <c r="S25" i="1"/>
  <c r="T25" i="1"/>
  <c r="V25" i="1"/>
  <c r="W25" i="1"/>
  <c r="X25" i="1"/>
  <c r="Y25" i="1"/>
  <c r="AA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Q25" i="1"/>
  <c r="AR25" i="1"/>
  <c r="AS25" i="1"/>
  <c r="AT25" i="1"/>
  <c r="AU25" i="1"/>
  <c r="AV25" i="1"/>
  <c r="AW25" i="1"/>
  <c r="AX25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O24" i="1"/>
  <c r="AP24" i="1"/>
  <c r="AQ24" i="1"/>
  <c r="AR24" i="1"/>
  <c r="AS24" i="1"/>
  <c r="AT24" i="1"/>
  <c r="AU24" i="1"/>
  <c r="AV24" i="1"/>
  <c r="AW24" i="1"/>
  <c r="AX2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S38" i="30" l="1"/>
  <c r="FO8" i="25"/>
  <c r="FO9" i="25"/>
  <c r="FO10" i="25"/>
  <c r="FO11" i="25"/>
  <c r="FO7" i="25"/>
  <c r="DE12" i="25"/>
  <c r="DF12" i="25"/>
  <c r="DG12" i="25"/>
  <c r="DH12" i="25"/>
  <c r="DI12" i="25"/>
  <c r="DJ12" i="25"/>
  <c r="DK12" i="25"/>
  <c r="DL12" i="25"/>
  <c r="DM12" i="25"/>
  <c r="DN12" i="25"/>
  <c r="DO12" i="25"/>
  <c r="DP12" i="25"/>
  <c r="DQ12" i="25"/>
  <c r="DR12" i="25"/>
  <c r="DS12" i="25"/>
  <c r="DT12" i="25"/>
  <c r="DU12" i="25"/>
  <c r="DV12" i="25"/>
  <c r="DW12" i="25"/>
  <c r="DX12" i="25"/>
  <c r="DY12" i="25"/>
  <c r="DZ12" i="25"/>
  <c r="EA12" i="25"/>
  <c r="EB12" i="25"/>
  <c r="EC12" i="25"/>
  <c r="ED12" i="25"/>
  <c r="EE12" i="25"/>
  <c r="EF12" i="25"/>
  <c r="EG12" i="25"/>
  <c r="EH12" i="25"/>
  <c r="EI12" i="25"/>
  <c r="EJ12" i="25"/>
  <c r="EK12" i="25"/>
  <c r="EL12" i="25"/>
  <c r="EM12" i="25"/>
  <c r="EN12" i="25"/>
  <c r="EO12" i="25"/>
  <c r="EP12" i="25"/>
  <c r="EQ12" i="25"/>
  <c r="ER12" i="25"/>
  <c r="ES12" i="25"/>
  <c r="ET12" i="25"/>
  <c r="EU12" i="25"/>
  <c r="EV12" i="25"/>
  <c r="EW12" i="25"/>
  <c r="EX12" i="25"/>
  <c r="EY12" i="25"/>
  <c r="EZ12" i="25"/>
  <c r="FA12" i="25"/>
  <c r="FB12" i="25"/>
  <c r="FC12" i="25"/>
  <c r="FD12" i="25"/>
  <c r="FE12" i="25"/>
  <c r="FF12" i="25"/>
  <c r="FG12" i="25"/>
  <c r="FH12" i="25"/>
  <c r="FI12" i="25"/>
  <c r="FJ12" i="25"/>
  <c r="FK12" i="25"/>
  <c r="FL12" i="25"/>
  <c r="FM12" i="25"/>
  <c r="FN12" i="25"/>
  <c r="DF80" i="26"/>
  <c r="DG80" i="26"/>
  <c r="DH80" i="26"/>
  <c r="DI80" i="26"/>
  <c r="DJ80" i="26"/>
  <c r="DK80" i="26"/>
  <c r="DL80" i="26"/>
  <c r="DM80" i="26"/>
  <c r="DN80" i="26"/>
  <c r="DO80" i="26"/>
  <c r="DP80" i="26"/>
  <c r="DQ80" i="26"/>
  <c r="DR80" i="26"/>
  <c r="DS80" i="26"/>
  <c r="DT80" i="26"/>
  <c r="DU80" i="26"/>
  <c r="DV80" i="26"/>
  <c r="DW80" i="26"/>
  <c r="DX80" i="26"/>
  <c r="DY80" i="26"/>
  <c r="DZ80" i="26"/>
  <c r="EA80" i="26"/>
  <c r="EB80" i="26"/>
  <c r="EC80" i="26"/>
  <c r="ED80" i="26"/>
  <c r="EE80" i="26"/>
  <c r="EF80" i="26"/>
  <c r="EG80" i="26"/>
  <c r="EH80" i="26"/>
  <c r="EI80" i="26"/>
  <c r="EJ80" i="26"/>
  <c r="EK80" i="26"/>
  <c r="EL80" i="26"/>
  <c r="EM80" i="26"/>
  <c r="EN80" i="26"/>
  <c r="EO80" i="26"/>
  <c r="EP80" i="26"/>
  <c r="EQ80" i="26"/>
  <c r="ER80" i="26"/>
  <c r="ES80" i="26"/>
  <c r="ET80" i="26"/>
  <c r="EU80" i="26"/>
  <c r="EV80" i="26"/>
  <c r="EW80" i="26"/>
  <c r="EX80" i="26"/>
  <c r="EY80" i="26"/>
  <c r="EZ80" i="26"/>
  <c r="FA80" i="26"/>
  <c r="FB80" i="26"/>
  <c r="FC80" i="26"/>
  <c r="FD80" i="26"/>
  <c r="FE80" i="26"/>
  <c r="FF80" i="26"/>
  <c r="FG80" i="26"/>
  <c r="FH80" i="26"/>
  <c r="FI80" i="26"/>
  <c r="FJ80" i="26"/>
  <c r="FK80" i="26"/>
  <c r="FL80" i="26"/>
  <c r="FM80" i="26"/>
  <c r="FN80" i="26"/>
  <c r="FO80" i="26"/>
  <c r="FP13" i="26"/>
  <c r="FP14" i="26"/>
  <c r="FP15" i="26"/>
  <c r="FP16" i="26"/>
  <c r="FP17" i="26"/>
  <c r="FP18" i="26"/>
  <c r="FP19" i="26"/>
  <c r="FP20" i="26"/>
  <c r="FP21" i="26"/>
  <c r="FP22" i="26"/>
  <c r="FP23" i="26"/>
  <c r="FP24" i="26"/>
  <c r="FP25" i="26"/>
  <c r="FP26" i="26"/>
  <c r="FP27" i="26"/>
  <c r="FP28" i="26"/>
  <c r="FP29" i="26"/>
  <c r="FP30" i="26"/>
  <c r="FP31" i="26"/>
  <c r="FP32" i="26"/>
  <c r="FP33" i="26"/>
  <c r="FP34" i="26"/>
  <c r="FP35" i="26"/>
  <c r="FP36" i="26"/>
  <c r="FP37" i="26"/>
  <c r="FP38" i="26"/>
  <c r="FP39" i="26"/>
  <c r="FP40" i="26"/>
  <c r="FP41" i="26"/>
  <c r="FP42" i="26"/>
  <c r="FP43" i="26"/>
  <c r="FP44" i="26"/>
  <c r="FP45" i="26"/>
  <c r="FP46" i="26"/>
  <c r="FP47" i="26"/>
  <c r="FP48" i="26"/>
  <c r="FP49" i="26"/>
  <c r="FP50" i="26"/>
  <c r="FP51" i="26"/>
  <c r="FP52" i="26"/>
  <c r="FP53" i="26"/>
  <c r="FP54" i="26"/>
  <c r="FP55" i="26"/>
  <c r="FP56" i="26"/>
  <c r="FP57" i="26"/>
  <c r="FP58" i="26"/>
  <c r="FP59" i="26"/>
  <c r="FP60" i="26"/>
  <c r="FP61" i="26"/>
  <c r="FP62" i="26"/>
  <c r="FP63" i="26"/>
  <c r="FP64" i="26"/>
  <c r="FP65" i="26"/>
  <c r="FP66" i="26"/>
  <c r="FP67" i="26"/>
  <c r="FP68" i="26"/>
  <c r="FP69" i="26"/>
  <c r="FP70" i="26"/>
  <c r="FP71" i="26"/>
  <c r="FP72" i="26"/>
  <c r="FP73" i="26"/>
  <c r="FP74" i="26"/>
  <c r="FP75" i="26"/>
  <c r="FP76" i="26"/>
  <c r="FP77" i="26"/>
  <c r="FP78" i="26"/>
  <c r="FP79" i="26"/>
  <c r="FP12" i="26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C22" i="1"/>
  <c r="AN24" i="1"/>
  <c r="AX20" i="1"/>
  <c r="AX32" i="1" s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T32" i="1" s="1"/>
  <c r="U20" i="1"/>
  <c r="V20" i="1"/>
  <c r="W20" i="1"/>
  <c r="X20" i="1"/>
  <c r="X32" i="1" s="1"/>
  <c r="Y20" i="1"/>
  <c r="Z20" i="1"/>
  <c r="AA20" i="1"/>
  <c r="AB20" i="1"/>
  <c r="AC20" i="1"/>
  <c r="AD20" i="1"/>
  <c r="AE20" i="1"/>
  <c r="AF20" i="1"/>
  <c r="AF32" i="1" s="1"/>
  <c r="AG20" i="1"/>
  <c r="AH20" i="1"/>
  <c r="AI20" i="1"/>
  <c r="AI32" i="1" s="1"/>
  <c r="AJ20" i="1"/>
  <c r="AJ32" i="1" s="1"/>
  <c r="AK20" i="1"/>
  <c r="AK32" i="1" s="1"/>
  <c r="AL20" i="1"/>
  <c r="AL32" i="1" s="1"/>
  <c r="AM20" i="1"/>
  <c r="AN20" i="1"/>
  <c r="AO20" i="1"/>
  <c r="AP20" i="1"/>
  <c r="AQ20" i="1"/>
  <c r="AR20" i="1"/>
  <c r="AS20" i="1"/>
  <c r="AT20" i="1"/>
  <c r="AU20" i="1"/>
  <c r="AU32" i="1" s="1"/>
  <c r="AV20" i="1"/>
  <c r="AV32" i="1" s="1"/>
  <c r="AW20" i="1"/>
  <c r="AW32" i="1" s="1"/>
  <c r="E25" i="1"/>
  <c r="L25" i="1"/>
  <c r="U25" i="1"/>
  <c r="Z25" i="1"/>
  <c r="AB25" i="1"/>
  <c r="AP25" i="1"/>
  <c r="AX14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X16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Y53" i="1"/>
  <c r="AY52" i="1"/>
  <c r="AY50" i="1"/>
  <c r="AY49" i="1"/>
  <c r="AY48" i="1"/>
  <c r="AY47" i="1"/>
  <c r="AY46" i="1"/>
  <c r="AY45" i="1"/>
  <c r="AY44" i="1"/>
  <c r="AY39" i="1"/>
  <c r="AY38" i="1"/>
  <c r="AY37" i="1"/>
  <c r="AY36" i="1"/>
  <c r="AY35" i="1"/>
  <c r="AY33" i="1"/>
  <c r="AY31" i="1"/>
  <c r="AY27" i="1"/>
  <c r="AY28" i="1"/>
  <c r="AY29" i="1"/>
  <c r="AY30" i="1"/>
  <c r="W32" i="1" l="1"/>
  <c r="AO32" i="1"/>
  <c r="AM32" i="1"/>
  <c r="U32" i="1"/>
  <c r="AH32" i="1"/>
  <c r="AE32" i="1"/>
  <c r="AS32" i="1"/>
  <c r="V32" i="1"/>
  <c r="S32" i="1"/>
  <c r="Y32" i="1"/>
  <c r="AG32" i="1"/>
  <c r="AT32" i="1"/>
  <c r="AC32" i="1"/>
  <c r="AB32" i="1"/>
  <c r="AD32" i="1"/>
  <c r="AR32" i="1"/>
  <c r="AQ32" i="1"/>
  <c r="AA32" i="1"/>
  <c r="AO16" i="1"/>
  <c r="Y16" i="1"/>
  <c r="R13" i="1"/>
  <c r="R16" i="1" s="1"/>
  <c r="Q13" i="1"/>
  <c r="Q16" i="1" s="1"/>
  <c r="P13" i="1"/>
  <c r="P16" i="1" s="1"/>
  <c r="O13" i="1"/>
  <c r="O16" i="1" s="1"/>
  <c r="N13" i="1"/>
  <c r="M13" i="1"/>
  <c r="L13" i="1"/>
  <c r="L16" i="1" s="1"/>
  <c r="K13" i="1"/>
  <c r="J13" i="1"/>
  <c r="J16" i="1" s="1"/>
  <c r="I13" i="1"/>
  <c r="I16" i="1" s="1"/>
  <c r="H13" i="1"/>
  <c r="G13" i="1"/>
  <c r="G16" i="1" s="1"/>
  <c r="F13" i="1"/>
  <c r="F16" i="1" s="1"/>
  <c r="E13" i="1"/>
  <c r="E16" i="1" s="1"/>
  <c r="D13" i="1"/>
  <c r="D16" i="1" s="1"/>
  <c r="C13" i="1"/>
  <c r="S13" i="30"/>
  <c r="S16" i="30" s="1"/>
  <c r="R19" i="1"/>
  <c r="R32" i="1" s="1"/>
  <c r="Q19" i="1"/>
  <c r="Q32" i="1" s="1"/>
  <c r="P19" i="1"/>
  <c r="P32" i="1" s="1"/>
  <c r="O19" i="1"/>
  <c r="O32" i="1" s="1"/>
  <c r="N19" i="1"/>
  <c r="M19" i="1"/>
  <c r="M32" i="1" s="1"/>
  <c r="L19" i="1"/>
  <c r="L32" i="1" s="1"/>
  <c r="K19" i="1"/>
  <c r="K32" i="1" s="1"/>
  <c r="J19" i="1"/>
  <c r="J32" i="1" s="1"/>
  <c r="I19" i="1"/>
  <c r="I32" i="1" s="1"/>
  <c r="H19" i="1"/>
  <c r="H32" i="1" s="1"/>
  <c r="G19" i="1"/>
  <c r="G32" i="1" s="1"/>
  <c r="F19" i="1"/>
  <c r="F32" i="1" s="1"/>
  <c r="E19" i="1"/>
  <c r="E32" i="1" s="1"/>
  <c r="D19" i="1"/>
  <c r="D32" i="1" s="1"/>
  <c r="S19" i="30"/>
  <c r="C19" i="1"/>
  <c r="AY19" i="1" s="1"/>
  <c r="AP16" i="1"/>
  <c r="Z16" i="1"/>
  <c r="AL16" i="1"/>
  <c r="V16" i="1"/>
  <c r="AP32" i="1"/>
  <c r="Z32" i="1"/>
  <c r="AN32" i="1"/>
  <c r="AI16" i="1"/>
  <c r="S16" i="1"/>
  <c r="AN16" i="1"/>
  <c r="X16" i="1"/>
  <c r="H16" i="1"/>
  <c r="AM16" i="1"/>
  <c r="W16" i="1"/>
  <c r="AK16" i="1"/>
  <c r="U16" i="1"/>
  <c r="AJ16" i="1"/>
  <c r="T16" i="1"/>
  <c r="AH16" i="1"/>
  <c r="AW16" i="1"/>
  <c r="AG16" i="1"/>
  <c r="AV16" i="1"/>
  <c r="AF16" i="1"/>
  <c r="AU16" i="1"/>
  <c r="AE16" i="1"/>
  <c r="N32" i="1"/>
  <c r="AT16" i="1"/>
  <c r="AD16" i="1"/>
  <c r="N16" i="1"/>
  <c r="AS16" i="1"/>
  <c r="AC16" i="1"/>
  <c r="M16" i="1"/>
  <c r="AR16" i="1"/>
  <c r="AB16" i="1"/>
  <c r="AQ16" i="1"/>
  <c r="AA16" i="1"/>
  <c r="K16" i="1"/>
  <c r="AY16" i="1" l="1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K80" i="26"/>
  <c r="AL80" i="26"/>
  <c r="AM80" i="26"/>
  <c r="AN80" i="26"/>
  <c r="AO80" i="26"/>
  <c r="AP80" i="26"/>
  <c r="AQ80" i="26"/>
  <c r="AR80" i="26"/>
  <c r="AS80" i="26"/>
  <c r="AT80" i="26"/>
  <c r="AU80" i="26"/>
  <c r="AV80" i="26"/>
  <c r="AW80" i="26"/>
  <c r="AX80" i="26"/>
  <c r="AY80" i="26"/>
  <c r="AZ80" i="26"/>
  <c r="BA80" i="26"/>
  <c r="BB80" i="26"/>
  <c r="BC80" i="26"/>
  <c r="BD80" i="26"/>
  <c r="BE80" i="26"/>
  <c r="BF80" i="26"/>
  <c r="BG80" i="26"/>
  <c r="BH80" i="26"/>
  <c r="BI80" i="26"/>
  <c r="BJ80" i="26"/>
  <c r="BK80" i="26"/>
  <c r="BL80" i="26"/>
  <c r="BM80" i="26"/>
  <c r="BN80" i="26"/>
  <c r="BO80" i="26"/>
  <c r="BP80" i="26"/>
  <c r="BQ80" i="26"/>
  <c r="BR80" i="26"/>
  <c r="BS80" i="26"/>
  <c r="BT80" i="26"/>
  <c r="BU80" i="26"/>
  <c r="BV80" i="26"/>
  <c r="BW80" i="26"/>
  <c r="BX80" i="26"/>
  <c r="BY80" i="26"/>
  <c r="BZ80" i="26"/>
  <c r="CA80" i="26"/>
  <c r="CB80" i="26"/>
  <c r="CC80" i="26"/>
  <c r="CD80" i="26"/>
  <c r="CE80" i="26"/>
  <c r="CF80" i="26"/>
  <c r="CG80" i="26"/>
  <c r="CH80" i="26"/>
  <c r="CI80" i="26"/>
  <c r="CJ80" i="26"/>
  <c r="CK80" i="26"/>
  <c r="CL80" i="26"/>
  <c r="CM80" i="26"/>
  <c r="CN80" i="26"/>
  <c r="CO80" i="26"/>
  <c r="CP80" i="26"/>
  <c r="CQ80" i="26"/>
  <c r="CR80" i="26"/>
  <c r="CS80" i="26"/>
  <c r="CT80" i="26"/>
  <c r="CU80" i="26"/>
  <c r="CV80" i="26"/>
  <c r="CW80" i="26"/>
  <c r="CX80" i="26"/>
  <c r="CY80" i="26"/>
  <c r="CZ80" i="26"/>
  <c r="DA80" i="26"/>
  <c r="DB80" i="26"/>
  <c r="DC80" i="26"/>
  <c r="DD80" i="26"/>
  <c r="DE80" i="26"/>
  <c r="AY26" i="1" l="1"/>
  <c r="AY23" i="1"/>
  <c r="I27" i="3"/>
  <c r="D36" i="30" s="1"/>
  <c r="J27" i="3"/>
  <c r="E36" i="30" s="1"/>
  <c r="E42" i="30" s="1"/>
  <c r="K27" i="3"/>
  <c r="F36" i="30" s="1"/>
  <c r="F42" i="30" s="1"/>
  <c r="L27" i="3"/>
  <c r="G36" i="30" s="1"/>
  <c r="G42" i="30" s="1"/>
  <c r="M27" i="3"/>
  <c r="H36" i="30" s="1"/>
  <c r="H42" i="30" s="1"/>
  <c r="N27" i="3"/>
  <c r="I36" i="30" s="1"/>
  <c r="I42" i="30" s="1"/>
  <c r="O27" i="3"/>
  <c r="J36" i="30" s="1"/>
  <c r="J42" i="30" s="1"/>
  <c r="P27" i="3"/>
  <c r="K36" i="30" s="1"/>
  <c r="K42" i="30" s="1"/>
  <c r="Q27" i="3"/>
  <c r="L36" i="30" s="1"/>
  <c r="L42" i="30" s="1"/>
  <c r="R27" i="3"/>
  <c r="M36" i="30" s="1"/>
  <c r="M42" i="30" s="1"/>
  <c r="S27" i="3"/>
  <c r="N36" i="30" s="1"/>
  <c r="N42" i="30" s="1"/>
  <c r="T27" i="3"/>
  <c r="O36" i="30" s="1"/>
  <c r="O42" i="30" s="1"/>
  <c r="U27" i="3"/>
  <c r="P36" i="30" s="1"/>
  <c r="P42" i="30" s="1"/>
  <c r="V27" i="3"/>
  <c r="Q36" i="30" s="1"/>
  <c r="Q42" i="30" s="1"/>
  <c r="W27" i="3"/>
  <c r="R36" i="30" s="1"/>
  <c r="R42" i="30" s="1"/>
  <c r="X27" i="3"/>
  <c r="D42" i="30" l="1"/>
  <c r="S36" i="30"/>
  <c r="S42" i="30" s="1"/>
  <c r="AY25" i="1"/>
  <c r="D10" i="30" l="1"/>
  <c r="AY13" i="1"/>
  <c r="AF5" i="29"/>
  <c r="C5" i="29"/>
  <c r="C4" i="29"/>
  <c r="E10" i="30" l="1"/>
  <c r="B49" i="26"/>
  <c r="F10" i="30" l="1"/>
  <c r="FP80" i="26"/>
  <c r="G10" i="30" l="1"/>
  <c r="I15" i="14"/>
  <c r="H10" i="30" l="1"/>
  <c r="F3" i="18" s="1"/>
  <c r="AY15" i="1"/>
  <c r="I10" i="30" l="1"/>
  <c r="G3" i="18" s="1"/>
  <c r="DD12" i="25"/>
  <c r="CT12" i="25"/>
  <c r="CU12" i="25"/>
  <c r="CV12" i="25"/>
  <c r="CW12" i="25"/>
  <c r="CX12" i="25"/>
  <c r="CY12" i="25"/>
  <c r="CZ12" i="25"/>
  <c r="DA12" i="25"/>
  <c r="DB12" i="25"/>
  <c r="DC12" i="25"/>
  <c r="C4" i="4"/>
  <c r="G7" i="5" s="1"/>
  <c r="E4" i="3" s="1"/>
  <c r="C4" i="8" s="1"/>
  <c r="H4" i="14" s="1"/>
  <c r="E13" i="23"/>
  <c r="E19" i="23"/>
  <c r="J10" i="30" l="1"/>
  <c r="H3" i="18" s="1"/>
  <c r="C7" i="7"/>
  <c r="C4" i="19" s="1"/>
  <c r="C4" i="25" s="1"/>
  <c r="C4" i="22" s="1"/>
  <c r="D7" i="26"/>
  <c r="K10" i="30" l="1"/>
  <c r="I3" i="18" s="1"/>
  <c r="FO6" i="25"/>
  <c r="I63" i="3"/>
  <c r="H63" i="3"/>
  <c r="F54" i="3"/>
  <c r="F55" i="3"/>
  <c r="F56" i="3"/>
  <c r="F57" i="3"/>
  <c r="F58" i="3"/>
  <c r="F59" i="3"/>
  <c r="F60" i="3"/>
  <c r="R60" i="3" s="1"/>
  <c r="F52" i="3"/>
  <c r="K52" i="3" s="1"/>
  <c r="F53" i="3"/>
  <c r="K53" i="3" s="1"/>
  <c r="L10" i="30" l="1"/>
  <c r="J3" i="18" s="1"/>
  <c r="T54" i="3"/>
  <c r="M10" i="30" l="1"/>
  <c r="K3" i="18" s="1"/>
  <c r="C19" i="23"/>
  <c r="C13" i="23"/>
  <c r="N10" i="30" l="1"/>
  <c r="L3" i="18" s="1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AG12" i="25"/>
  <c r="AH12" i="25"/>
  <c r="O10" i="30" l="1"/>
  <c r="M3" i="18" s="1"/>
  <c r="R63" i="3"/>
  <c r="P63" i="3"/>
  <c r="J63" i="3"/>
  <c r="K63" i="3"/>
  <c r="L63" i="3"/>
  <c r="M63" i="3"/>
  <c r="N63" i="3"/>
  <c r="O63" i="3"/>
  <c r="Q63" i="3"/>
  <c r="S63" i="3"/>
  <c r="T63" i="3"/>
  <c r="U63" i="3"/>
  <c r="V63" i="3"/>
  <c r="W63" i="3"/>
  <c r="X63" i="3"/>
  <c r="P10" i="30" l="1"/>
  <c r="N3" i="18" s="1"/>
  <c r="BO12" i="25"/>
  <c r="BP12" i="25"/>
  <c r="BQ12" i="25"/>
  <c r="BR12" i="25"/>
  <c r="BS12" i="25"/>
  <c r="BT12" i="25"/>
  <c r="BU12" i="25"/>
  <c r="BV12" i="25"/>
  <c r="BW12" i="25"/>
  <c r="BX12" i="25"/>
  <c r="BY12" i="25"/>
  <c r="BZ12" i="25"/>
  <c r="CA12" i="25"/>
  <c r="CB12" i="25"/>
  <c r="CC12" i="25"/>
  <c r="CD12" i="25"/>
  <c r="CE12" i="25"/>
  <c r="CF12" i="25"/>
  <c r="CG12" i="25"/>
  <c r="CH12" i="25"/>
  <c r="CI12" i="25"/>
  <c r="CJ12" i="25"/>
  <c r="CK12" i="25"/>
  <c r="CL12" i="25"/>
  <c r="CM12" i="25"/>
  <c r="CN12" i="25"/>
  <c r="CO12" i="25"/>
  <c r="CP12" i="25"/>
  <c r="CQ12" i="25"/>
  <c r="CR12" i="25"/>
  <c r="CS12" i="25"/>
  <c r="BN12" i="25"/>
  <c r="Q10" i="30" l="1"/>
  <c r="O3" i="18" s="1"/>
  <c r="FO12" i="25"/>
  <c r="R10" i="30" l="1"/>
  <c r="P3" i="18" s="1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AJ12" i="25"/>
  <c r="AK12" i="25"/>
  <c r="AL12" i="25"/>
  <c r="AM12" i="25"/>
  <c r="AN12" i="25"/>
  <c r="AO12" i="25"/>
  <c r="AP12" i="25"/>
  <c r="AQ12" i="25"/>
  <c r="AR12" i="25"/>
  <c r="AS12" i="25"/>
  <c r="AT12" i="25"/>
  <c r="AU12" i="25"/>
  <c r="AV12" i="25"/>
  <c r="AW12" i="25"/>
  <c r="AX12" i="25"/>
  <c r="AY12" i="25"/>
  <c r="AZ12" i="25"/>
  <c r="BA12" i="25"/>
  <c r="BB12" i="25"/>
  <c r="BC12" i="25"/>
  <c r="BD12" i="25"/>
  <c r="BE12" i="25"/>
  <c r="BF12" i="25"/>
  <c r="BG12" i="25"/>
  <c r="BH12" i="25"/>
  <c r="BI12" i="25"/>
  <c r="BJ12" i="25"/>
  <c r="BK12" i="25"/>
  <c r="BL12" i="25"/>
  <c r="BM12" i="25"/>
  <c r="AI12" i="25" l="1"/>
  <c r="T18" i="4"/>
  <c r="AY34" i="1" l="1"/>
  <c r="AY20" i="1"/>
  <c r="K15" i="14"/>
  <c r="AY22" i="1" l="1"/>
  <c r="BI16" i="11"/>
  <c r="AY40" i="1" l="1"/>
  <c r="BI10" i="11"/>
  <c r="BG16" i="11" l="1"/>
  <c r="BE10" i="11"/>
  <c r="BE16" i="11" s="1"/>
  <c r="BC16" i="11"/>
  <c r="BC10" i="11"/>
  <c r="BA10" i="11"/>
  <c r="BA16" i="11" s="1"/>
  <c r="AY10" i="11" l="1"/>
  <c r="AY16" i="11" s="1"/>
  <c r="AW10" i="11"/>
  <c r="AW16" i="11" s="1"/>
  <c r="AW20" i="11" s="1"/>
  <c r="AU10" i="11" l="1"/>
  <c r="AU16" i="11" s="1"/>
  <c r="AS10" i="11" l="1"/>
  <c r="AS16" i="11" s="1"/>
  <c r="AQ10" i="11"/>
  <c r="AQ16" i="11" s="1"/>
  <c r="AO14" i="11" l="1"/>
  <c r="AO16" i="11" s="1"/>
  <c r="AM16" i="11" l="1"/>
  <c r="AK16" i="11"/>
  <c r="AJ10" i="11"/>
  <c r="AI16" i="11" l="1"/>
  <c r="AH10" i="11"/>
  <c r="AH16" i="11" s="1"/>
  <c r="AG10" i="11" l="1"/>
  <c r="AG16" i="11" l="1"/>
  <c r="AF10" i="11" l="1"/>
  <c r="AF16" i="11" s="1"/>
  <c r="AE10" i="11"/>
  <c r="AE16" i="11" s="1"/>
  <c r="AD10" i="11" l="1"/>
  <c r="AD16" i="11" s="1"/>
  <c r="G57" i="11" l="1"/>
  <c r="G56" i="11"/>
  <c r="G55" i="11"/>
  <c r="G51" i="11"/>
  <c r="H43" i="11"/>
  <c r="H42" i="11"/>
  <c r="AB41" i="11"/>
  <c r="H41" i="11"/>
  <c r="H40" i="11"/>
  <c r="O39" i="11"/>
  <c r="H39" i="11"/>
  <c r="U16" i="11"/>
  <c r="U40" i="11" s="1"/>
  <c r="P16" i="11"/>
  <c r="N16" i="11"/>
  <c r="M16" i="11"/>
  <c r="L16" i="11"/>
  <c r="V38" i="11" s="1"/>
  <c r="U14" i="11"/>
  <c r="O14" i="11"/>
  <c r="J14" i="11"/>
  <c r="R13" i="11"/>
  <c r="O13" i="11"/>
  <c r="G13" i="11"/>
  <c r="H13" i="11" s="1"/>
  <c r="O12" i="11"/>
  <c r="G12" i="11"/>
  <c r="H12" i="11" s="1"/>
  <c r="R11" i="11"/>
  <c r="O11" i="11"/>
  <c r="G11" i="11"/>
  <c r="H11" i="11" s="1"/>
  <c r="O10" i="11"/>
  <c r="K10" i="11"/>
  <c r="K16" i="11" s="1"/>
  <c r="AB14" i="11" s="1"/>
  <c r="F10" i="11"/>
  <c r="F16" i="11" s="1"/>
  <c r="F52" i="11" s="1"/>
  <c r="R9" i="11"/>
  <c r="O9" i="11"/>
  <c r="X8" i="11"/>
  <c r="R8" i="11"/>
  <c r="O8" i="11"/>
  <c r="R7" i="11"/>
  <c r="O7" i="11"/>
  <c r="R6" i="11"/>
  <c r="O6" i="11"/>
  <c r="R5" i="11"/>
  <c r="O5" i="11"/>
  <c r="O4" i="11"/>
  <c r="R3" i="11"/>
  <c r="O3" i="11"/>
  <c r="O2" i="11"/>
  <c r="J2" i="11"/>
  <c r="O16" i="11" l="1"/>
  <c r="O38" i="11" s="1"/>
  <c r="O40" i="11" s="1"/>
  <c r="H45" i="11"/>
  <c r="G59" i="11"/>
  <c r="S39" i="11"/>
  <c r="G10" i="11"/>
  <c r="U17" i="11"/>
  <c r="H10" i="11" l="1"/>
  <c r="G16" i="11"/>
  <c r="G52" i="11" s="1"/>
  <c r="G61" i="11" s="1"/>
  <c r="I10" i="11" l="1"/>
  <c r="H16" i="11"/>
  <c r="H46" i="11" s="1"/>
  <c r="I16" i="11" l="1"/>
  <c r="J10" i="11"/>
  <c r="Y3" i="11" l="1"/>
  <c r="Y5" i="11" s="1"/>
  <c r="J16" i="11"/>
  <c r="J28" i="14" l="1"/>
  <c r="I28" i="14"/>
  <c r="J15" i="14"/>
  <c r="AY14" i="1" l="1"/>
  <c r="AY24" i="1"/>
  <c r="AY32" i="1" s="1"/>
  <c r="D10" i="1" l="1"/>
  <c r="E10" i="1" l="1"/>
  <c r="F10" i="1" l="1"/>
  <c r="G10" i="1" l="1"/>
  <c r="H10" i="1" l="1"/>
  <c r="I10" i="1" l="1"/>
  <c r="J10" i="1" l="1"/>
  <c r="K10" i="1" l="1"/>
  <c r="L10" i="1" l="1"/>
  <c r="M10" i="1" l="1"/>
  <c r="N10" i="1" l="1"/>
  <c r="O10" i="1" l="1"/>
  <c r="P10" i="1" l="1"/>
  <c r="Q10" i="1" l="1"/>
  <c r="R10" i="1" l="1"/>
  <c r="S10" i="1" l="1"/>
  <c r="T10" i="1" l="1"/>
  <c r="U10" i="1" l="1"/>
  <c r="V10" i="1" l="1"/>
  <c r="W10" i="1" l="1"/>
  <c r="X10" i="1" l="1"/>
  <c r="Y10" i="1" l="1"/>
  <c r="Z10" i="1" l="1"/>
  <c r="AA10" i="1" l="1"/>
  <c r="AB10" i="1" l="1"/>
  <c r="AC10" i="1" l="1"/>
  <c r="AD10" i="1" l="1"/>
  <c r="AE10" i="1" l="1"/>
  <c r="AF10" i="1" l="1"/>
  <c r="AG10" i="1" l="1"/>
  <c r="AH10" i="1" l="1"/>
  <c r="AI10" i="1" l="1"/>
  <c r="AJ10" i="1" l="1"/>
  <c r="AK10" i="1" l="1"/>
  <c r="AL10" i="1" l="1"/>
  <c r="AM10" i="1" l="1"/>
  <c r="AN10" i="1" l="1"/>
  <c r="AO10" i="1" l="1"/>
  <c r="AP10" i="1" l="1"/>
  <c r="AQ10" i="1" l="1"/>
  <c r="AR10" i="1" l="1"/>
  <c r="AS10" i="1" l="1"/>
  <c r="AT10" i="1" l="1"/>
  <c r="AU10" i="1" l="1"/>
  <c r="AV10" i="1" l="1"/>
  <c r="AW10" i="1" l="1"/>
  <c r="AX10" i="1" l="1"/>
  <c r="AY10" i="1"/>
  <c r="S12" i="30"/>
  <c r="AY43" i="1"/>
  <c r="AY12" i="1"/>
  <c r="AY51" i="1"/>
  <c r="S53" i="30"/>
  <c r="S61" i="30"/>
  <c r="AY18" i="1"/>
  <c r="AY41" i="1"/>
  <c r="S18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N9" authorId="0" shapeId="0" xr:uid="{79349323-B145-4465-BD6C-199BBC364BD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dbyr full utk pembelian akomodasi &amp; tiket pesawat WTM London</t>
        </r>
      </text>
    </comment>
    <comment ref="N12" authorId="0" shapeId="0" xr:uid="{CF56E023-1DD7-45BA-8E45-54ADF8B2976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dibayar full utk persiapan akomodasi &amp; tiket pesawat ke WTM London</t>
        </r>
      </text>
    </comment>
  </commentList>
</comments>
</file>

<file path=xl/sharedStrings.xml><?xml version="1.0" encoding="utf-8"?>
<sst xmlns="http://schemas.openxmlformats.org/spreadsheetml/2006/main" count="2245" uniqueCount="713">
  <si>
    <t>BRI</t>
  </si>
  <si>
    <t>-</t>
  </si>
  <si>
    <t>UK</t>
  </si>
  <si>
    <t>YUKTI</t>
  </si>
  <si>
    <t>OCBC</t>
  </si>
  <si>
    <t>MANDIRI</t>
  </si>
  <si>
    <t>UOB</t>
  </si>
  <si>
    <t>CIMB</t>
  </si>
  <si>
    <t>JUMAT</t>
  </si>
  <si>
    <t>SABTU</t>
  </si>
  <si>
    <t>MINGGU</t>
  </si>
  <si>
    <t>SENIN</t>
  </si>
  <si>
    <t>SELASA</t>
  </si>
  <si>
    <t>RABU</t>
  </si>
  <si>
    <t>KAMIS</t>
  </si>
  <si>
    <t>Cash Flow Realization</t>
  </si>
  <si>
    <t>PT. Werkudara Nirwana Sakti</t>
  </si>
  <si>
    <t>Period</t>
  </si>
  <si>
    <t>Cash balance alert minimum</t>
  </si>
  <si>
    <t>Updated on</t>
  </si>
  <si>
    <t>Minggu</t>
  </si>
  <si>
    <t>Senin</t>
  </si>
  <si>
    <t>Selasa</t>
  </si>
  <si>
    <t>Rabu</t>
  </si>
  <si>
    <t>Kamis</t>
  </si>
  <si>
    <t>Jumat</t>
  </si>
  <si>
    <t>Sabtu</t>
  </si>
  <si>
    <t>Beginning</t>
  </si>
  <si>
    <t>TOTAL</t>
  </si>
  <si>
    <r>
      <t xml:space="preserve">Cash on hand (beginning of month) </t>
    </r>
    <r>
      <rPr>
        <sz val="11"/>
        <color theme="8" tint="-0.249977111117893"/>
        <rFont val="Calibri"/>
        <family val="2"/>
        <scheme val="minor"/>
      </rPr>
      <t>CF.9</t>
    </r>
  </si>
  <si>
    <t>PENERIMAAN CASH</t>
  </si>
  <si>
    <t>Piutang &amp; Revenue</t>
  </si>
  <si>
    <t>CF.1</t>
  </si>
  <si>
    <t>Penerimaan Pengembalian Pinjaman</t>
  </si>
  <si>
    <t>CF.11</t>
  </si>
  <si>
    <t xml:space="preserve">Suntikan Modal </t>
  </si>
  <si>
    <t>TOTAL CASH RECEIPTS</t>
  </si>
  <si>
    <t>CASH PAID OUT</t>
  </si>
  <si>
    <t>Pajak</t>
  </si>
  <si>
    <t>CF.10</t>
  </si>
  <si>
    <t>Gaji &amp; Benefid Karyawan</t>
  </si>
  <si>
    <t>CF.3</t>
  </si>
  <si>
    <t>Corporate Expenses</t>
  </si>
  <si>
    <t>CF.6</t>
  </si>
  <si>
    <t>Operational Kantor (GA)</t>
  </si>
  <si>
    <t>CF.7</t>
  </si>
  <si>
    <t>Operational All Departemen</t>
  </si>
  <si>
    <t>CF.12</t>
  </si>
  <si>
    <t>Bunga &amp; Angsuran</t>
  </si>
  <si>
    <t>CF.5</t>
  </si>
  <si>
    <t>Cost Of Revenue</t>
  </si>
  <si>
    <t>CF.2</t>
  </si>
  <si>
    <t>Hutang Usaha</t>
  </si>
  <si>
    <t>CF.4</t>
  </si>
  <si>
    <t>Pemberian Pinjaman</t>
  </si>
  <si>
    <t>CF.8</t>
  </si>
  <si>
    <t>Sales Call</t>
  </si>
  <si>
    <t>CF.9</t>
  </si>
  <si>
    <t>Pengembalian Suntikan Modal dari Owner</t>
  </si>
  <si>
    <t>SUBTOTAL CASH PAID OUT</t>
  </si>
  <si>
    <t>Pengembalian Pinjaman Pokok Modal</t>
  </si>
  <si>
    <t>Pembelanjaan Modal (Capital Expenditures)</t>
  </si>
  <si>
    <t>Investasi Usaha Lain (Other startup costs)</t>
  </si>
  <si>
    <t>Pemberian Pinjaman (Capital Loan)</t>
  </si>
  <si>
    <t>Prive Penarikan Modal (Owners' withdrawal)</t>
  </si>
  <si>
    <t>Pembayaran Hutang Usaha (EVENT &amp; TOUR)</t>
  </si>
  <si>
    <t>TOTAL CASH PAID OUT</t>
  </si>
  <si>
    <t>OTHER OPERATING DATA</t>
  </si>
  <si>
    <t>Sales Revenue</t>
  </si>
  <si>
    <t>Accounts receivable balance</t>
  </si>
  <si>
    <t>Bad debt balance</t>
  </si>
  <si>
    <t>Inventory on hand</t>
  </si>
  <si>
    <t>Accounts payable balance</t>
  </si>
  <si>
    <t>Depreciation</t>
  </si>
  <si>
    <t>BALANCE</t>
  </si>
  <si>
    <t>Saldo Mutasi Bank di LKBH</t>
  </si>
  <si>
    <t>Selisih</t>
  </si>
  <si>
    <t>TOTAL PENERIMAAN KAS</t>
  </si>
  <si>
    <t>ACC</t>
  </si>
  <si>
    <t>CFC</t>
  </si>
  <si>
    <t>PENGELUARAN</t>
  </si>
  <si>
    <t>Gaji &amp; Benefit Karyawan</t>
  </si>
  <si>
    <t>HR</t>
  </si>
  <si>
    <t>Operational Kantor (ACC)</t>
  </si>
  <si>
    <t>Operational Kantor (ACS)</t>
  </si>
  <si>
    <t>ACS</t>
  </si>
  <si>
    <t>Operational Kantor (BAS)</t>
  </si>
  <si>
    <t>BAS</t>
  </si>
  <si>
    <t>Operational Kantor (BID)</t>
  </si>
  <si>
    <t>BID</t>
  </si>
  <si>
    <t>Operational Kantor (CFC)</t>
  </si>
  <si>
    <t>GA</t>
  </si>
  <si>
    <t>Operational Kantor (HR)</t>
  </si>
  <si>
    <t>Operational Kantor (PD)</t>
  </si>
  <si>
    <t>PD</t>
  </si>
  <si>
    <t>Operational Kantor (SS)</t>
  </si>
  <si>
    <t>SS</t>
  </si>
  <si>
    <t>Operational Kantor (SO)</t>
  </si>
  <si>
    <t>SO</t>
  </si>
  <si>
    <t>Operational Kantor (TEP)</t>
  </si>
  <si>
    <t>TEP</t>
  </si>
  <si>
    <t>Operational Kantor (RESERVASI)</t>
  </si>
  <si>
    <t>RESERVASI</t>
  </si>
  <si>
    <t>Operational Kantor (TAKSHAKA)</t>
  </si>
  <si>
    <t>TAKSHAKA</t>
  </si>
  <si>
    <t>TOTAL PENGELUARAN KAS</t>
  </si>
  <si>
    <t>Kategori :</t>
  </si>
  <si>
    <t>Cash Outflow (Penerimaan Kas)</t>
  </si>
  <si>
    <t>Hari Kerja</t>
  </si>
  <si>
    <t>Pos Akun :</t>
  </si>
  <si>
    <t>Jadwal Pembayaran (Selasa/ Jumat)</t>
  </si>
  <si>
    <t>Periode :</t>
  </si>
  <si>
    <t>Hari Libur</t>
  </si>
  <si>
    <t>Updated on :</t>
  </si>
  <si>
    <t>Pengeluaran Biaya Operating Sales &amp; Marketing</t>
  </si>
  <si>
    <t>22 Okt 2021</t>
  </si>
  <si>
    <t>DESKRIPSI</t>
  </si>
  <si>
    <t>NOMINAL</t>
  </si>
  <si>
    <t>TANGGAL</t>
  </si>
  <si>
    <t>World Bank VP DFI Site Visitation tgl 22-23 Aug 2025</t>
  </si>
  <si>
    <t>WNS BALI - Forest Therapy Kemenpar Soulful Escape: Recharge &amp; Rediscover 8D7N Bali Yogyakarta Famtrip New Zealand tgl 25 Aug 2025</t>
  </si>
  <si>
    <t>UOB INDONESIA - UOB Brand Internal Campaign Service May - September 2025</t>
  </si>
  <si>
    <t>UOB INDONESIA - Transport Arrangement Mr. Hendra UOB Indonesia tgl 22-23 Aug 2025</t>
  </si>
  <si>
    <t>PROTELINDO GROUP - Corporate Travel Protelindo Group tgl 1-30 August 2025</t>
  </si>
  <si>
    <t>UOB INDONESIA - UOB  BOD Board Retreat tgl 2-6 September 2025</t>
  </si>
  <si>
    <t>PT ROCHE INDONESIA - Booth Roche at Pertemuan Ilmiah Tahunan Perhimpunan Dokter Spesial Patologi Anatomik in Yogyakarta on September 5-7, 2025</t>
  </si>
  <si>
    <t>UN WOMEN INDONESIA - 25th Anniversary of UNSCR 1325 Celebration : Exhibition, Workshop, and Launch of the Indonesian CSO Network for 17-19 September 2025</t>
  </si>
  <si>
    <t>WORLD BANK - World Bank VP for East Asia and Pacific Region Visit to Jakarta Tour tgl 20 Sep 2025</t>
  </si>
  <si>
    <t>PT FINACCEL TEKNOLOGI INDONESIA - Tour Company Outing Team 2025 in Bogor on September 26-27, 2025 (Term 2)</t>
  </si>
  <si>
    <t>RS SILOAM MRCC SEMANGGI - Backdrop Arrangement - Hardoknas tgl 1-31 Oktober 2025 (Term 1)</t>
  </si>
  <si>
    <t>RS SILOAM MRCC SEMANGGI - Backdrop Arrangement - Hardoknas tgl 1-31 Oktober 2025 (Term 2)</t>
  </si>
  <si>
    <t>PT DONALDSON FILTRATION INDONESIA - Halfday Tour Sightseeing in Bandung on November 11, 2025</t>
  </si>
  <si>
    <t>PT DONALDSON FILTRATION INDONESIA - Halfday Tour Sightseeing in Bandung on November 11, 2025 (Additional Term 1)</t>
  </si>
  <si>
    <t>PT DONALDSON FILTRATION INDONESIA - Halfday Tour Sightseeing in Bandung on November 11, 2025 (Additional Term 2)</t>
  </si>
  <si>
    <t>ILO INDONESIA - ILO - Official Visit of Federal Councilor of Switzerland to KPBS Pangalengan on October 2, 2025</t>
  </si>
  <si>
    <t xml:space="preserve"> PT BADAN ESSENCE INDONESIA - IFF Festive Night 2025 (Additional)</t>
  </si>
  <si>
    <t>TEAM INTERNATIONAL TEXTILE MANUFACTURER FEDERATION - ITMF Annual Conference &amp; IAF World Fashion Convention in Yogyakarta on October 24-26, 2025
(Term 3)</t>
  </si>
  <si>
    <t>ASOSIASI PERTEKSTILAN INDONESIA (API) - Booth Diamond APR - ITMF Annual Conference &amp; IAF World Fashion Convention in Yogyakarta on October 24, 2025</t>
  </si>
  <si>
    <t>APDMET - Sosialisasi Hasil Munas V dan Rapat Kerja ADPMET 2025 in Cepu on October 15, 2025 (Term 2)</t>
  </si>
  <si>
    <t xml:space="preserve"> JOE - Sosialisasi Hasil Munas V dan Rapat Kerja ADPMET 2025 in Cepu on October 15, 2025 (Term 3 / Dana Sponsorship)</t>
  </si>
  <si>
    <t>PT KROM BANK INDONESIA TBK - Tour Annual Gathering tgl 24-25 Oktober 2025 (Term 1)</t>
  </si>
  <si>
    <t>PT KROM BANK INDONESIA TBK - Tour Annual Gathering tgl 24-25 Oktober 2025 (Term 2)</t>
  </si>
  <si>
    <t>RANTAI TEKSTIL LESTARI - Meeting RTL tgl 23 October 2025 (Term 2)</t>
  </si>
  <si>
    <t>PT WNS - BI KPW Sulawesi Utara Mastering Smart Correspondence with AI</t>
  </si>
  <si>
    <t>KEMENPAR - Workshop Kejutan tgl 1-2 Oktober 2025 (WNS)</t>
  </si>
  <si>
    <t>KEMENPAR - Workshop Kejutan tgl 1-2 Oktober 2025 (YPN)</t>
  </si>
  <si>
    <t>KEMENPAR - Workshop Kejutan tgl 1-2 Oktober 2025 (Kwitansi WNS)</t>
  </si>
  <si>
    <t>PT RINTIS SEJAHTERA - PRIMA Executive Gathering 2025</t>
  </si>
  <si>
    <t>PT DATA SINERGITAMA JAYA TBK - Elitery Company Gathering Team Building &amp; Gala Dinner (Term 1)</t>
  </si>
  <si>
    <t>PT DATA SINERGITAMA JAYA TBK - Elitery Company Gathering Team Building &amp; Gala Dinner (Term 2)</t>
  </si>
  <si>
    <t>GIZ INDONESIA  - Green Infrastructur Initiative World Clean Up Day Event in Batu Lumbang Mangrove Bali on October 13, 2025</t>
  </si>
  <si>
    <t>BI KPW SULUT - Transportation Arrival (MRP)</t>
  </si>
  <si>
    <t>BI KPW SULUT - Transportation Departure (MRP)</t>
  </si>
  <si>
    <t>BI KPW SULUT  - Event Arrangement Festival Jurnalistik Rekanan Media Sulut tgl 1-4 Oct 2025</t>
  </si>
  <si>
    <t>BI KPW SULUT - Accomodation (YPN)</t>
  </si>
  <si>
    <t>PT ASIA PACIFIC RAYON - Gala Dinner ITMF Annual Conference &amp; IAF World Fashion Convention October 24, 2025</t>
  </si>
  <si>
    <t>UOB INDONESIA - Brand Internal Campaign</t>
  </si>
  <si>
    <t>UNDP SLPI - Bintang SLPI Live at International Indonesia Sustainability Forukm tgl 10 October 2025</t>
  </si>
  <si>
    <t>GIZ INDONESIA - IKI Interface Workshop tgl 21 Oct 2025</t>
  </si>
  <si>
    <t>BU EVI INDIVIDUAL GUEST - 3D2N Yogyakarta Tour Experience tgl 21-23 November 2025</t>
  </si>
  <si>
    <t>PT GOLDEN TEKSTIL INDONESIA - ITMF Annual Conference &amp; IAF World Fashion Convention tgl 22 October 2025</t>
  </si>
  <si>
    <t>PENERIMAAN PINJAMAN</t>
  </si>
  <si>
    <t xml:space="preserve"> </t>
  </si>
  <si>
    <t>TOTAL PEMBERIAN PINJAMAN</t>
  </si>
  <si>
    <t>IN-Suntikan Modal</t>
  </si>
  <si>
    <t>TOTAL PENERIMAAN SUNTIKAN MODAL DARI OWNER</t>
  </si>
  <si>
    <t>Cash Outflow (Pengeluaran Kas)</t>
  </si>
  <si>
    <t>OUT-ACC-Pajak</t>
  </si>
  <si>
    <t>PPN MEI 2025</t>
  </si>
  <si>
    <t>PPH 23, 26, 4(2) JUNI</t>
  </si>
  <si>
    <t>PPN IMPOR JUNI</t>
  </si>
  <si>
    <t>PPN JUNI 2025</t>
  </si>
  <si>
    <t>PPH 23 &amp; 26 JULI 2025</t>
  </si>
  <si>
    <t>PPN IMPOR JULI</t>
  </si>
  <si>
    <t>SKPKB PPN DES ANG 10</t>
  </si>
  <si>
    <t>PPN JULI 2025</t>
  </si>
  <si>
    <t>SKPKB PPN SEPTEMBER ANG 17</t>
  </si>
  <si>
    <t>SKPKB PPN AGUSTUS ANG 17</t>
  </si>
  <si>
    <t>SKPKB PPN NOVEMBER ANG 17</t>
  </si>
  <si>
    <t>SKPKB PPN OKTOBER ANG 17</t>
  </si>
  <si>
    <t>SKPKB PPN DESEMBER ANG 17</t>
  </si>
  <si>
    <t>SKPKB PPN JULI ANG 17</t>
  </si>
  <si>
    <t>SKPKB PPH 23 MARET ANG 17</t>
  </si>
  <si>
    <t>SKPKB PPH 23 APRIL ANG 17</t>
  </si>
  <si>
    <t>SKPKB PPH 23 MEI ANG 17</t>
  </si>
  <si>
    <t>SKPKB PPH 23 JUNI ANG 17</t>
  </si>
  <si>
    <t>SKPKB PPH 23 JULI ANG 17</t>
  </si>
  <si>
    <t>SKPKB PPH 23 AGUSTUS ANG 17</t>
  </si>
  <si>
    <t>SKPKB PPH 23 OKTOBER ANG 17</t>
  </si>
  <si>
    <t>SKPKB PPH 23 NOVEMBER ANG 17</t>
  </si>
  <si>
    <t>SKPKB PPH 23 DESEMBER ANG 17</t>
  </si>
  <si>
    <t>SKPKB PPH 21 MARET - DES ANG 17</t>
  </si>
  <si>
    <t>SKPKB PPH BADAN ANG 17</t>
  </si>
  <si>
    <t>SKPKB STP PPN ANG 17</t>
  </si>
  <si>
    <t>TOTAL PAJAK</t>
  </si>
  <si>
    <t>Out-HR- Gaji &amp; Benefit</t>
  </si>
  <si>
    <t>KETERANGAN</t>
  </si>
  <si>
    <t>TOTAL BIAYA HRD</t>
  </si>
  <si>
    <t>Out-CFC-Corporate Expenses</t>
  </si>
  <si>
    <t>A</t>
  </si>
  <si>
    <t>cicilan/bln</t>
  </si>
  <si>
    <t>TGL JATUH TEMPO</t>
  </si>
  <si>
    <r>
      <rPr>
        <b/>
        <sz val="11"/>
        <color rgb="FF000000"/>
        <rFont val="Calibri"/>
        <family val="2"/>
        <scheme val="minor"/>
      </rPr>
      <t>CC BRI Easy Card 5188 2802 8215 3601 (Based on billing tagihan bulan Okt)</t>
    </r>
    <r>
      <rPr>
        <sz val="11"/>
        <color rgb="FF000000"/>
        <rFont val="Calibri"/>
        <family val="2"/>
        <scheme val="minor"/>
      </rPr>
      <t xml:space="preserve"> 
Tagihan Okt sudah dibayar</t>
    </r>
  </si>
  <si>
    <t>22 OKT 2025</t>
  </si>
  <si>
    <r>
      <rPr>
        <b/>
        <sz val="11"/>
        <color rgb="FF000000"/>
        <rFont val="Calibri"/>
        <family val="2"/>
        <scheme val="minor"/>
      </rPr>
      <t>CC DANAMON 5522 3923 4584 5175</t>
    </r>
    <r>
      <rPr>
        <sz val="11"/>
        <color rgb="FF000000"/>
        <rFont val="Calibri"/>
        <family val="2"/>
        <scheme val="minor"/>
      </rPr>
      <t xml:space="preserve"> 
dicicil 12x sdh dbyr 6x, bln ini sdh dbyr</t>
    </r>
  </si>
  <si>
    <t>21 OKT 2025</t>
  </si>
  <si>
    <t>CC HSBC 4034 0900 0329 0809
dicicil 36x sdh dbyr 4x @832.665
dicicil 36x sdh dbyr 4x @835.057</t>
  </si>
  <si>
    <t>CC HSBC 5183 2301 0213 6604
dicicil 36x sdh dibyr 4x @2,492,006 
dicicil 4x sdh dibyr 4x @103,899</t>
  </si>
  <si>
    <t>CC DANAMON AMEX 3755 312077 38007 (dicicil 6x &amp; sdh dbyr 3x) @7.518.739
dicicil 6x, sdh dbyr 1x @ 5.406.875, bln ini sudah dibayar</t>
  </si>
  <si>
    <t>CC BRI PLATINUM 5520 0202 8322 8201, rencana bayar 13.764.854</t>
  </si>
  <si>
    <t>CC DBS 4374-5600-0155-3448 
rencana bayar 17.801.124</t>
  </si>
  <si>
    <t>CC MANDIRI 4149 3130 0154 8958 
Sdh dibyr tgl 07 Okt 2025 = 11.796.341
Akan dibyr lg tgl 21 Okt 25 = 18.101.721</t>
  </si>
  <si>
    <t>CC OCBC 4645 8311 0202 4628 
Sdh dibyr tgl 02 Okt 25 = 5.040.126</t>
  </si>
  <si>
    <t>CC DANAMON 3755 312163 39003 AMEX 
Sdh dibyr tgl 02 Okt 25 = 5.301.962
Akan dibyr lg tgl 21 Okt 25 = 15.178.135</t>
  </si>
  <si>
    <t>CC DANAMON 4258570913716109 INFINIT 
Sdh dibyr tgl 02 Okt  25 = 4.316.821</t>
  </si>
  <si>
    <t>CC DANAMON 3567 9600 0500 0322
Sdh dibyr tgl 02 Okt 25 = 729.297</t>
  </si>
  <si>
    <t>CC MEGA 4201 9400 5250 1935
Sdh dibyr tgl 07 Okt 25 = 4.147.313</t>
  </si>
  <si>
    <t>CC MANDIRI 4137 1803 1348 6456
(Based on billing tagihan Okt 25)
Tagihan Okt 25 sudah dibayar</t>
  </si>
  <si>
    <t>CC MANDIRI 5126 7603 0309 4806 
(Based on tagihan bulan Okt 2025)
Tagihan Okt sudah dibayar</t>
  </si>
  <si>
    <t>CC OCBC 5241 6955 0205 4757
(Based on tagihan bulan Okt 25)
Tagihan Okt sudah dibayar</t>
  </si>
  <si>
    <t>CC  UOB  4219 2020 7256 0866 
(Based on billing tagihan bln Okt 25)
Tagihan Okt 25 sudah dibayar</t>
  </si>
  <si>
    <t>CC CIMB 5463 1800 6037 0623
Sdh dibyr tgl 02 Okt 25 = 2.722.709</t>
  </si>
  <si>
    <t>CC BNI CORP 4365 8300 0015 5888
(bln Okt 25 blm ada tagihan)</t>
  </si>
  <si>
    <t>CC BNI CORP 4365 8300 0015 5896
(based on billing tagihan Okt 25)
Bln Okt 25 sudah dibayar tgl 09 Okt 25</t>
  </si>
  <si>
    <t>CC BNI CORP 4365 8300 0015 5904
(Based on Billing tagihan bulan Sept 25)
Sdh dibyr bln Okt 25 = 88.383.689</t>
  </si>
  <si>
    <t>CC BNI CORP 4365 8300 0015 5912
Sdh dibyr tgl 16 Okt 25 = 14.500.000</t>
  </si>
  <si>
    <t>CC BNI CORP 4365 8300 0015 5961
Sdh dibyr tgl 14 Okt 25 = 22.842.460</t>
  </si>
  <si>
    <t>CC BNI CORP 4365 8300 0015 5953
Blm ada tagihan CC bln Okt 25.</t>
  </si>
  <si>
    <t xml:space="preserve">Pengeluaran Operasional Kantor </t>
  </si>
  <si>
    <t>Out-ACC-Ops</t>
  </si>
  <si>
    <t>Jadwal Pembayaran (Selasa/Kamis)</t>
  </si>
  <si>
    <t>TOTAL BIAYA ACC</t>
  </si>
  <si>
    <t>Out-ACS-Ops</t>
  </si>
  <si>
    <t>Jadwal Pembayaran (Selasa/ Kamis)</t>
  </si>
  <si>
    <t>TOTAL BIAYA ACS</t>
  </si>
  <si>
    <t>Out-Ops-BAS</t>
  </si>
  <si>
    <t>TOTAL BIAYA BAS</t>
  </si>
  <si>
    <t>OUT-BID-OPS</t>
  </si>
  <si>
    <t>HTANG PAJAK</t>
  </si>
  <si>
    <t>OUT-CFC-OPS</t>
  </si>
  <si>
    <t>OUT-GA-OPS</t>
  </si>
  <si>
    <t>LISTRIK NOVEMBER</t>
  </si>
  <si>
    <t xml:space="preserve">SEWA LAPANGAN BADMINTON </t>
  </si>
  <si>
    <t xml:space="preserve">CATERING MAKAN SIANG </t>
  </si>
  <si>
    <t>BUAH</t>
  </si>
  <si>
    <t xml:space="preserve">ES BATU </t>
  </si>
  <si>
    <t>KADO FAREWELL</t>
  </si>
  <si>
    <t>KARANGAN BUNGA - TENTATIVE</t>
  </si>
  <si>
    <t>PAJAK VARIO AB 4432 QI</t>
  </si>
  <si>
    <t>PAJAK VARIO AB 5523 KA</t>
  </si>
  <si>
    <t>SERVICE POMPA WIPER</t>
  </si>
  <si>
    <t>ASURANSI XPANDER</t>
  </si>
  <si>
    <t>SELANG WASTAFEL, FLASHER, SEALANT</t>
  </si>
  <si>
    <t>BBM MINGGUAN ZENIX &amp; EXPANDER</t>
  </si>
  <si>
    <t>BBM GENSET</t>
  </si>
  <si>
    <t xml:space="preserve">PAKET FILTER WATER PURIFIER </t>
  </si>
  <si>
    <t xml:space="preserve">SELANG DAN CORONG VAKUM </t>
  </si>
  <si>
    <t>OUT-HR-OPS</t>
  </si>
  <si>
    <t>OUT-PD-OPS</t>
  </si>
  <si>
    <t>OUT-SS-OPS</t>
  </si>
  <si>
    <t>OUT-SO-OPS</t>
  </si>
  <si>
    <t>OUT-TEP-OPS</t>
  </si>
  <si>
    <t>OUT-RESERVASI-OPS</t>
  </si>
  <si>
    <t>OUT-TAKSHAKA-OPS</t>
  </si>
  <si>
    <t>Out-CFC-Pengeluaran Pembayaran Bunga &amp; Angsuran</t>
  </si>
  <si>
    <t>Nama Pos</t>
  </si>
  <si>
    <t>Bunga</t>
  </si>
  <si>
    <t>Pokok</t>
  </si>
  <si>
    <t>Nomor Kontrak</t>
  </si>
  <si>
    <t>Rekening  Bank</t>
  </si>
  <si>
    <t>PERIODE PEMBAYARAN</t>
  </si>
  <si>
    <t>NOMINAL PEMBAYARAN</t>
  </si>
  <si>
    <t>Biaya Bunga Pinjaman  Modal Individu</t>
  </si>
  <si>
    <t>Biaya Bunga Pinjaman  Modal BRI</t>
  </si>
  <si>
    <t>Total Biaya Bunga Modal Individu</t>
  </si>
  <si>
    <t>Biaya Bunga &amp; Angsuran Pokok Kartu Kredit (Jika ada)</t>
  </si>
  <si>
    <t>Tgl Cetak</t>
  </si>
  <si>
    <t>Tgl Jatuh Tempo</t>
  </si>
  <si>
    <t>Tot Tagihan</t>
  </si>
  <si>
    <t>Min Payment</t>
  </si>
  <si>
    <t>Rencana Payment</t>
  </si>
  <si>
    <t>Sisa Tagihan</t>
  </si>
  <si>
    <t>TOTAL BIAYA PEMBAYARAN RUTIN BUNGA &amp; ANGSURAN</t>
  </si>
  <si>
    <t>EXPENSES</t>
  </si>
  <si>
    <t>80% DP</t>
  </si>
  <si>
    <t>OUT-TEP-COST OF REVENUE</t>
  </si>
  <si>
    <t>20% PEL</t>
  </si>
  <si>
    <t>COMPANY</t>
  </si>
  <si>
    <t>EVENT</t>
  </si>
  <si>
    <t>EST 
PENERIMAAN REVENUE</t>
  </si>
  <si>
    <t>EST NET REVENUE</t>
  </si>
  <si>
    <t>EST EXPENSE 
(80% x Tot. Rev)</t>
  </si>
  <si>
    <t>GIZ</t>
  </si>
  <si>
    <t>GIZ IKI INTERFACE WORKSHOP</t>
  </si>
  <si>
    <t>21 OKTOBER 2025</t>
  </si>
  <si>
    <t>PT RINTIS SEJAHTERA</t>
  </si>
  <si>
    <t>PRIMA EXECUTIVE GATHERING</t>
  </si>
  <si>
    <t>22-23 OKTOBER 2025</t>
  </si>
  <si>
    <t>ELITERY</t>
  </si>
  <si>
    <t>ELITERY WFA WEEK</t>
  </si>
  <si>
    <t>22-24 OKTOBER 2025</t>
  </si>
  <si>
    <t>ITMF</t>
  </si>
  <si>
    <t>ITMF CONFERENCE 2025</t>
  </si>
  <si>
    <t>22-26 OKTOBER 2025</t>
  </si>
  <si>
    <t>RTL</t>
  </si>
  <si>
    <t>RTL MEETING</t>
  </si>
  <si>
    <t>23 OKTOBER 2025</t>
  </si>
  <si>
    <t>ROCHE</t>
  </si>
  <si>
    <t>ROCHE BOOTH MEDAN</t>
  </si>
  <si>
    <t>23-24 OKTOBER 2025</t>
  </si>
  <si>
    <t xml:space="preserve">BALI ES </t>
  </si>
  <si>
    <t>BALI ES TOUR YOGYAKARTA</t>
  </si>
  <si>
    <t>23-25 OKTOBER 2025</t>
  </si>
  <si>
    <t>API</t>
  </si>
  <si>
    <t xml:space="preserve">ITMF GALA DINNER </t>
  </si>
  <si>
    <t>24 OKTOBER 2025</t>
  </si>
  <si>
    <t>KROM BANK</t>
  </si>
  <si>
    <t>KROM BANK ANNUAL GATHERING</t>
  </si>
  <si>
    <t>24-25 OKTOBER 2025</t>
  </si>
  <si>
    <t>BANK INDONESIA KPW JATENG</t>
  </si>
  <si>
    <t>BI KPW JATENG MATRA LAUT</t>
  </si>
  <si>
    <t>MRCCC SILOAM</t>
  </si>
  <si>
    <t>MRCCC HARDOKNAS 2025</t>
  </si>
  <si>
    <t>25 OKTOBER 2025</t>
  </si>
  <si>
    <t>TOTAL BIAYA SALES CALL</t>
  </si>
  <si>
    <t>BIAYA SURVEY SALES OPERATIONS</t>
  </si>
  <si>
    <t>TOTAL BIAYA SURVEY SALES OPERATIONS</t>
  </si>
  <si>
    <t>BIAYA SALES OPERATING SUPPLIES</t>
  </si>
  <si>
    <t xml:space="preserve"> Biaya kirim company profile ke Bali </t>
  </si>
  <si>
    <t>TOTAL BIAYA SALES OPERATING SUPPLIES</t>
  </si>
  <si>
    <t>NO PO</t>
  </si>
  <si>
    <t>Event</t>
  </si>
  <si>
    <t>BANK INDONESIA DSDM-TEGAL</t>
  </si>
  <si>
    <t>EMPLOYEE GATHERING 2023</t>
  </si>
  <si>
    <t>18 November 2023</t>
  </si>
  <si>
    <t>PREMIUMPASS INTERNATIONAL (5D4N SINGAPORE-BATAM-BINTAN)</t>
  </si>
  <si>
    <t>5D4N SINGAPORE-BATAM-BINTAN</t>
  </si>
  <si>
    <t>19-23 November 2023</t>
  </si>
  <si>
    <t>WORLD BANK (CCDR LAUNCH )</t>
  </si>
  <si>
    <t xml:space="preserve">WB CCDR LAUNCH </t>
  </si>
  <si>
    <t>27 November 2023</t>
  </si>
  <si>
    <t xml:space="preserve">THE ASEAN COORDINATING CENTRE FOR HUMANITARIAN ASSISTANCE ON DISASTER MANAGEMENT (AHA CENTRE) </t>
  </si>
  <si>
    <t>ASEAN RETREAT</t>
  </si>
  <si>
    <t>3 - 8 Dec 23</t>
  </si>
  <si>
    <t>PERTAMINA EP</t>
  </si>
  <si>
    <t>RAKER EKSPLORASI 2023</t>
  </si>
  <si>
    <t>5 - 8 Dec 23</t>
  </si>
  <si>
    <t>SURYA MADISTRINDO AO JAKARTA JAKARTA SA2-3 TDN 4D3N BALI</t>
  </si>
  <si>
    <t>SM AO JAKARTA SA2-3 TDN 4D3N BALI</t>
  </si>
  <si>
    <t>6 - 9 Dec 23</t>
  </si>
  <si>
    <t>SEDAYA MULTI INVESTAMA - YEAR END GATHERING 2023</t>
  </si>
  <si>
    <t>YEAR END GATHERING 2023</t>
  </si>
  <si>
    <t>8 - 10 Dec 23</t>
  </si>
  <si>
    <t>SURYA MADISTRINDO RO JAWA TIMUR -  RO JATIM SA1-2 TDN 4D3N BALI</t>
  </si>
  <si>
    <t>SM RO JATIM SA1-2 TDN 4D3N BALI</t>
  </si>
  <si>
    <t>14 - 17 Dec 23</t>
  </si>
  <si>
    <t>HCML (HUSKY-CNOOC MADURA LIMITED) - HCML SYNERGY 2023</t>
  </si>
  <si>
    <t>HCML SYNERGY 2023</t>
  </si>
  <si>
    <t>17 December 2023</t>
  </si>
  <si>
    <t>TOTAL PENGELUARAN COST OF REVENUE PERIODE SEBELUMNYA</t>
  </si>
  <si>
    <t>Pembayaran Hutang Usah</t>
  </si>
  <si>
    <t>OUT-CFC-HUTANG USAHA</t>
  </si>
  <si>
    <t>VENDOR</t>
  </si>
  <si>
    <t>KETERANGAN OUTSTANDING HUTANG USAHA</t>
  </si>
  <si>
    <t>DP</t>
  </si>
  <si>
    <t xml:space="preserve">
PT VITAMIN DISKUSI SOLUSI - VINDES</t>
  </si>
  <si>
    <r>
      <rPr>
        <sz val="11"/>
        <color rgb="FF000000"/>
        <rFont val="Calibri"/>
        <family val="2"/>
        <scheme val="minor"/>
      </rPr>
      <t xml:space="preserve">WNS; 2025; OCTOBER 2025; 063-01-TEP5-OCT-2025; WNS - ELITERY - COMPANY OUTING BOGOR TGL 22 - 24 OCT 25; BIAYA OOMLEO BERKARAOKE ELITERY COMPANY OUTING BOGOR 24 OCT 2025 ( 1 PCKG X Rp 45.918.367 ). TOTAL Rp 45.918.367 + PPN 12% Rp 5.051.020 = Rp 50.969.387 - PPH 23 Rp 918.367 = Rp 50.051.020. INV NO : VTMND/X/2025/217
DP 50% Rp 25.025.510 TGL 16 OCT 2025
</t>
    </r>
    <r>
      <rPr>
        <b/>
        <sz val="11"/>
        <color rgb="FF000000"/>
        <rFont val="Calibri"/>
        <family val="2"/>
        <scheme val="minor"/>
      </rPr>
      <t xml:space="preserve">PELUNASAN Rp 25.025.510 TGL 21 OCT 2025
</t>
    </r>
    <r>
      <rPr>
        <sz val="11"/>
        <color rgb="FF000000"/>
        <rFont val="Calibri"/>
        <family val="2"/>
        <scheme val="minor"/>
      </rPr>
      <t>TRF REK BCA 0710398658 an PT VITAMIN DISKUSI SOLUSI</t>
    </r>
  </si>
  <si>
    <t>ANUGRAH DEWATA</t>
  </si>
  <si>
    <t xml:space="preserve">2025;OCTOBER 2025;OPS KANTOR;TEE - OPS KANTOR;BIAYA PEMB TELEPHONE KANTOR PABX PANASONIC 1 PCS DENGAN TOTAL Rp. 9.500.000;BIAYA PEMB PESAWAT TELP ANLOG KX TS500 4 PCS DENGAN TOTAL Rp. 1.200.000;BIAYA PEMB TELPON WALL SAHITEL S21 1 PCS DENGAN TOTAL 295.000;BIAYA PEMB KABEL TELPON ISI 4 SEPANJANG 120 M DENGAN TOTAL Rp. 720.000;BIAYA PEMB INSTALASI KABEL SETTING UNTUK 6 TITIK DENGAN TOTAL Rp. 900.000;BIAYA PEMB MATERIAL SUPPORT KLEM KABEL DUCK PENUTUP KABEL DAN ROSLET UNTUK 1 LS DENGAN TOTAL Rp. 400.000;GRAND TOTAL Rp. 13.015.000
NO INVOICE : AD/BALI/X/ 2025
DP 1 50% : Rp. 6.507.500 TGL 16 OKT 2025
PELUNASAN : Rp. 6.507.500 AFTER INSTALASI/21 OKT 2025
PAYMENT TF BNI 3555355950 an WERKUDARA NIRWANA SAKTI
</t>
  </si>
  <si>
    <t xml:space="preserve">
ENIGMA INTERTAMA</t>
  </si>
  <si>
    <t>WNS; 2025; OCTOBER 2025; 054-01-TEP3-SEP-2025; WNS - ILO INDONESIA - OFFICIAL VISIT OF FEDERAL COUNCILLOR OF SWITZERLAND TO KPBS PANGALENG TGL 2 OCT 25; BIAYA EVENT SUPPORTING PRODUCTION DAN MANPOWER FOR EVENT ILO TGL 2 OCT 2025 ( 1 PCKG X Rp 78.819.520 ). TOTAL Rp 78.819.520 - PPH 21 Rp 1.970.488 = Rp 76.849.032. INV NO : 03/ENIGMA-WG/X/25
PELUNASAN Rp 76.849.032 TGL 16 OCT 2025
TRF REK BCA 7560142034 an ALFI YANSYAH</t>
  </si>
  <si>
    <t xml:space="preserve">
PRIME STAR MICE SERVICE</t>
  </si>
  <si>
    <t>WNS; 2025; SEPTEMBER 2025; 051-01-TEP3-SEP-2025; WNS - UN WOMEN INDONESIA - 25TH ANNIVERSARY OF UNSCR 1325 CELEBRATION JAKARTA TGL 17 - 18 SEP 25; BIAYA PRODUCTION UN WOMEN TGL 17-18 SEP 2025 ( 1 PCKG X Rp 126.030.000 ). TOTAL Rp 126.030.000 - PPH 23 Rp 2.520.600 = Rp 123.509.400. INV NO :
PELUNASAN Rp 123.509.400 TGL 21 OKTOBER 2025
TRF REK BCA 6975808061 an PANCA INDERA KREATIF INDONESIA</t>
  </si>
  <si>
    <t xml:space="preserve">
LUMICOS</t>
  </si>
  <si>
    <t xml:space="preserve">
WNS; 2025; SEPTEMBER 2025; 051-01-TEP3-SEP-2025; WNS - UN WOMEN INDONESIA - 25TH ANNIVERSARY OF UNSCR 1325 CELEBRATION JAKARTA TGL 17 - 18 SEP 25; BIAYA DOKUMENTASI TGL 17-18 SEP 2025 ( 1 PCKG X Rp 10.500.000 ). TOTAL Rp 10.500.000 - PPH 23 Rp 210.000 = Rp 10.290.000. INV NO : #2607
PELUNASAN Rp 10.290.000 TGL 16 OCT 2025
TRF REK BCA 8610674900 an BHAGAWANTA PUTRA SAKTI</t>
  </si>
  <si>
    <t xml:space="preserve">
BALAWAN BATUAN ETHNIC FUSION</t>
  </si>
  <si>
    <t>TEE; 2025; OCTOBER 2025; 006-01-TEE-OCT-2025; TEE - RINTIS SEJAHTERA (PRIMA) - EXECUTIVE GATHERING 2025 BALI TGL 22 - 24 OCT 25; BIAYA PEMB BALAWAN TRIO (GUITAR, VOCAL, KEYBOARD) PERFOMANCE TGL 23 OKTOBER 2025 DI HOTEL MULIA BALI. TOTAL 20.000.000
NO INV : BEF014/010/2025
DP 1 50% : 10.000.000 TGL 14 OKT 2025
PELUNASAN : 10.000.000 TGL 21 OKT 2025
PAYMENT TF MANDIRI 1450007961432 A.N I WAYAN BALAWAN</t>
  </si>
  <si>
    <t>GUIDE GUNG PUTRI</t>
  </si>
  <si>
    <t>2025;OCTOBER 2025;TEP;KEMENPAREKRAF - MEGA FAM TRIP 14 - 17 OKT 2025; BIAYA PEMB GUIDE FEE TGL 14-17 JUMLAH 4 PAX DENGAN TOTAL Rp. 2.800.000;BIAYA PEMB MEALS TGL 14-17 JUMLAH 4 PAX DENGAN TOTAL Rp. 300.000; BIAYA PEM TIPPING TGL 14-17 JUMLAH 4 PAX DENGAN TOTAL Rp. 600.000;BIAYA PEMB PENGINAPAN TGL 16-17 DENGAN TOTAL Rp. 300.000; SUB TOTAL Rp. 4.000.000
NO INV : INV/00113
PELUNASAN : Rp. 4.000.000 TGL 16 OKT 2025 SBLM JAM 12.00
PAYMENT TF KE BCA 7680190849 an ANAK AGUNG GEK PUTRI ANTARI</t>
  </si>
  <si>
    <t xml:space="preserve">
MANPOWER</t>
  </si>
  <si>
    <t>TKS; 2025; SEPTEMBER 2025; 005-04-TKS-SEP-2025; TKS - ASURANSI BRI LIFE - BOOTH SAMANSA RUN MAKASSAR TGL 20 - 21 SEP 25; BIAYA MANPOWER SUPPORT REMOTE BRI LIFE TGL 20-21 SEP 2025 AN REFANGGA ( 1 PCKG X Rp 300.000 ). TOTAL Rp 300.000. INV NO :
PELUNASAN Rp 300.000 TGL 2 OCT 2025
TRF REFANGGA</t>
  </si>
  <si>
    <t>TKS; 2025; SEPTEMBER 2025; 005-04-TKS-SEP-2025; TKS - ASURANSI BRI LIFE - BOOTH SAMANSA RUN MAKASSAR TGL 20 - 21 SEP 25; BIAYA MANPOWER SUPPORT REMOTE BRI LIFE TGL 20-21 SEP 2025 AN VIANA ( 1 PCKG X Rp 350.000 ). TOTAL Rp 350.000. INV NO :
PELUNASAN Rp 350.000 TGL 2 OCT 2025
TRF VIANA</t>
  </si>
  <si>
    <t>PARKIR TOL BBM</t>
  </si>
  <si>
    <t>WNS - GA - BIAYA PEMB BBM INOVA DAN PARKIR UNTUK TABLE TOP HARRIS CIUMBULEUIT BANDUNG. TTL 105.000 REIMBURSE ANWAR</t>
  </si>
  <si>
    <t>KASBON PURWATI</t>
  </si>
  <si>
    <t>KASBON EVENT KROM BANK ANNUAL GATHERING 2025</t>
  </si>
  <si>
    <t>NUSAIBA SOUVENIR</t>
  </si>
  <si>
    <r>
      <rPr>
        <sz val="11"/>
        <color rgb="FF000000"/>
        <rFont val="Calibri"/>
        <family val="2"/>
      </rPr>
      <t xml:space="preserve">WNS; 2025; OCTOBER 2025; 033-01-TEP2-JUL-2025; WNS - ITMF - ANNUAL CONFERENCE &amp; IAF WORLD FASHION CONVENTION YOGYAKRATA TGL 24 - 25 OCT 25; BIAYA TROPHY RESIN BOX BLUDRU 2 PCS ( 1 PCKG X Rp 1.150.000 ). TOTAL Rp 1.150.000. INV NO :
</t>
    </r>
    <r>
      <rPr>
        <b/>
        <sz val="11"/>
        <color rgb="FF000000"/>
        <rFont val="Calibri"/>
        <family val="2"/>
      </rPr>
      <t xml:space="preserve">DP 50% Rp 575.000 TGL 16 OCT 2025
</t>
    </r>
    <r>
      <rPr>
        <sz val="11"/>
        <color rgb="FF000000"/>
        <rFont val="Calibri"/>
        <family val="2"/>
      </rPr>
      <t>PELUNASAN Rp 575.000 TGL 21 OCT 2025
TRF REK BRI 040901037462502 an ANNISA KUSUMASTUTY</t>
    </r>
  </si>
  <si>
    <t>WARUNG MAKAN</t>
  </si>
  <si>
    <t>WNS - GA - BIAYA PEMB KUE ROLL TAPE UNTUK PERAYAAN ULTAH WG 001 DAN WG 002. TTL 329.000
REIMBURSE MARIA DITA</t>
  </si>
  <si>
    <t>WINGKO SUSILOWATI</t>
  </si>
  <si>
    <t>WNS - TEP - BIAYA PEMB WINGKO UNTUK KLIEN IFF GALA DINNER. TTL 392.000
REIMBURSE LINDA</t>
  </si>
  <si>
    <t>PT SHOPEE INDONESIA</t>
  </si>
  <si>
    <t>WNS - TEP - BIAYA PEMB PAPER BAG JUMBO UNTUK KLIEN UOB BOARD MEDAN. TTL 87.400
REIMBURSE LINDA</t>
  </si>
  <si>
    <t xml:space="preserve">
PARKIR, TOL, BBM</t>
  </si>
  <si>
    <t>WNS - GA - BIAYA PEMB BBM EXPANDER UNTUK INSPECTION MERAPI GOLF. TTL 200.000
REIMBURSE ADIEL</t>
  </si>
  <si>
    <t xml:space="preserve">
PHOENIX MULTIMEDIA</t>
  </si>
  <si>
    <t>WNS; 2025; OCTOBER 2025; 055-03-TEP2-SEP-2025; WNS - KEMENPAR DEPUTI PPK-E - GIMMICK KENALAN EVENT BERKELANJUTAN (KEJUTAN) YOGYAKARTA TGL 1 - 2 OCT 25; BIAYA PRODUCTION PRAMBANAN DAN BUGISAN TGL 1-2 OCT 2025 ( 1 PCKG X Rp 36.450.000 ). TOTAL Rp 36.450.000 - PPH 21 Rp 911.250 = Rp 35.538.750. INV NO : 025/INV/PHOENIX/W001/VIII/2025
PELUNASAN Rp 35.538.750 TGL 21 OCT 2025
TRF REK BCA 8610218530 an ST YUDI WAHYU K</t>
  </si>
  <si>
    <t xml:space="preserve">
WNS; 2025; OCTOBER 2025; 034-01-TEP2-JUL-2025; WNS - DISPERINDAG DIY - JIBB YOGYAKARTA TGL 15 SEP - 5 OCT 25; BIAYA PRODUCTION JIBB GOES TO CAMPUS DAN JIBB RAY TGL SEP - OCT 2025 ( 1 PCKG X Rp 19.250.000 ). TOTAL Rp 19.250.000 - PPH 21 Rp 481.250 = Rp 18.768.750. INV NO : 023/INV/PHOENIX/W001/VIII/2025
PELUNASAN Rp 18.768.750 TGL 23 OCT 2025
TRF REK BCA 8610218530 an ST YUDI WAHYU K</t>
  </si>
  <si>
    <t xml:space="preserve">
CV. RIFFA TRANSPORT</t>
  </si>
  <si>
    <t>WNS; 2025; AUGUST 2025; 029-01-TEP3-JUL-2025; WNS - SMI - RESTORAN MANAGER BANQUET YOGYAKARTA TGL 18 - 22 AUG 25; BIAYA TRANSPORT TGL 17-22 AUG 2025 ( 1 PCKG X Rp 78.650.000 ) UM DRIVER ( 1 PCKG X Rp 7.000.000 ) PARKIR TOL ( 1 PCKG X Rp 2.733.000 ). TOTAL Rp 88.383.000 - PPH 23 Rp 1.767.660 = Rp 86.615.340. INV NO : 016/INVRIFFA/AI/VIII/2025
PELUNASAN Rp 86.615.340 TGL 25 SEP 2025
TRF REK MANDIRI 1370080820208 an PT RIFFA UTAMA MANDIRI</t>
  </si>
  <si>
    <t xml:space="preserve">
PT TEKUN LANCAR SEJAHTERA</t>
  </si>
  <si>
    <t>WNS - BAS - BIAYA PEMB MAP ZIPPER BESAR 1 DAN MAP BOX FILE WARNA BIRU. TTL 115.000
NO INV : 1159
PELUNASAN 18 SEPT 25</t>
  </si>
  <si>
    <t>PT TEKUN LANCAR SEJAHTERA</t>
  </si>
  <si>
    <t>MemoWNS - CFC - BIAYA PEMB SHEET PROTEKTOR F4 20, CLEAR MAP L 2, KWITANSI KECIL 1, TINTA EPSON 1. TTL 346.000
NO INV : 1155
PELUNASAN 18 SEPT 25</t>
  </si>
  <si>
    <t>WNS; 2025; AUGUST 2025; 036-01-TEP5-JUL-2025; WNS - YASULOR INDONESIA - L'OREAL SAPMENA HR UPSTREAM OFFSITE MEETING YOGYAKARTA TGL 19 - 22 AUG 25; BIAYA AQUA BERSARUNG 5 BOX AQUA BIASA 3 BOX DAN POCARI 1 BOX ( 1 PCKG X Rp 415.000. TOTAL Rp 415.000. INV NO : 1156
PELUNASAN Rp 415.000 TGL 16 SEP 2025
TRF REK MANDIRI 137 001 838 9292 an PT TEKUN LANCAR SEJAHTERA</t>
  </si>
  <si>
    <t>WNS; 2025; AUGUST 2025; 029-01-TEP3-JUL-2025; WNS - SMI - RESTORAN MANAGER BANQUET YOGYAKARTA TGL 18 - 22 AUG 25; BIAYA AQUA BERSARUNG 22 BOX ( 1 PCKG X Rp 1.333.000 ). TOTAL Rp 1.333.000 INV NO : 1157
PELUNASAN Rp 1.333.000 TGL 16 SEP 2025
TRF REK MANDIRI 137 001 838 9292 an PT TEKUN LANCAR SEJAHTERA</t>
  </si>
  <si>
    <t xml:space="preserve">
MKRAF</t>
  </si>
  <si>
    <t>WNS - TEP - BIAYA PEMB KARTU KERTAS BENIH, KARTU TRIDATU 200 PCS @4000, KOTAK PARFUM 100 PCS @5000. TTL 1.500.000
NO INV : 0232
PAYMENT TF BCA 4451423198 A.N SUTRISNO
PELUNASAN 21 OKT 2025</t>
  </si>
  <si>
    <t>MRP; 2025; SEPTEMBER 2025; 006-MRP-03-SEP-2025; MRP - UOB INDONESIA - RETAIL TRANSPORT MR HENDRA SOLO TGL 22 - 23 AUG 25; BIAYA TRANSPORT ALPHARD TGL 22-23 AGUSTUS 2025 ( 1 PCKG X Rp 6.440.000 ). TOTAL Rp 6.440.000 - PPH 23 Rp 128.800 = Rp 6.311.200. INV NO : 018
PELUNASAN Rp 6.311.200 TGL 30 SEP 2025
TRF REK MANDIRI 1370080820208 an PT RIFFA UTAMA MANDIRI</t>
  </si>
  <si>
    <t xml:space="preserve">
NOVOTEL BOGOR GOLF RESORT</t>
  </si>
  <si>
    <t>WNS; 2025; OCTOBER 2025; 059-02-TEP5-SEP-2025; WNS - KROM BANK - ANNUAL GATHERING BOGOR TGL 24 -25 OCT 25; BIAYA AKOMODASI PRIVATE DINNER DAN OUTDOOR SPACE FOR TB TGL 24-25 OCT 2025 ( 1 PCKG X Rp 389.600.000 ). TOTAL Rp 389.600.000. INV NO : 537/SD/LOA/IX/2025
DP KE 1 Rp 116.880.000 TGL 7 OCT 2025
DP KE 2 Rp 136.360.000 TGL 14 OCT 2025
PELUNASAN Rp 136.360.000 TGL 21 OCT 2025
TRF REK BCA 4270316391 an PT BOGOR RAYA DEVELOPMENT</t>
  </si>
  <si>
    <t xml:space="preserve">
JANUAR PRIBADI TEAM SHOW MANAGEMENT (Vendor)</t>
  </si>
  <si>
    <t xml:space="preserve">
WNS; 2025; OCTOBER 2025; 050-02-TEP5-SEP-2025; WNS - KREDIVO GROUP - PRODUCT DIVISION OUTING BOGOR TGL 3 - 4 OCT 25; BIAYA EVENT SUPPORT TIM SHOW MANAGEMENT TGL 3 OCT 2025 ( 1 PCKG X Rp 13.125.000 ). TOTAL Rp 13.125.000 - PPH 21 Rp 328.125 = Rp 12.796.875. INV NO : 48/JSPRO/SMOKT/2025
PELUNASAN Rp 12.796.875 TGL 21 OCT 2025
TRF REK BCA 5540471705 an TITAN RISKIANA</t>
  </si>
  <si>
    <t>WNS; 2025; OCTOBER 2025; 050-02-TEP5-SEP-2025; WNS - KREDIVO GROUP - PRODUCT DIVISION OUTING BOGOR TGL 3 - 4 OCT 25; BIAYA PRODUCTION LED SOUND SISTEM TRANSPORT AKOMODASI TGL 3 OCT 2025 ( 1 PCKG X Rp 59.150.000 ). TOTAL Rp 59.150.000 - PPH 21 Rp 1.478.750 = Rp 57.671.250. INV NO : 026/INV/PHOENIX/W001/VIII/2025
PELUNASAN Rp 57.671.250 TGL 21 OCT 2025
TRF REK BCA 8610218530 an ST YUDI WAHYU K</t>
  </si>
  <si>
    <t xml:space="preserve">
PT TEKNO EVENT ASIA</t>
  </si>
  <si>
    <t xml:space="preserve">
WNS; 2025; SEPTEMBER 2025; 051-01-TEP3-SEP-2025; WNS - UN WOMEN INDONESIA - 25TH ANNIVERSARY OF UNSCR 1325 CELEBRATION JAKARTA TGL 17 - 18 SEP 25; BIAYA DIGITAL SIS ( 15 PCS X Rp 200.000 ) INTERPRETER BOOTH ( 1 PCKG X Rp 1.000.000 ) INTEGRATION SERVICES ( 1 PCKG X Rp 1.500.000 ) STANDBY TECHNITION ( 1 PCKG X Rp 1.000.000 ) SIMULTANEOUS INTEPRETER 2 PAX ( 2 PCKG X Rp 5.000.000 ). TOTAL Rp 16.500.000 - PPH 23 Rp 330.000 = Rp 16.170.000. INV NO : TEA/INV-14/IX/2025
PELUNASAN Rp 16.170.000 TGL 21 OCT 2025
TRF REK BCA 2060800815 an PT TEKNO EVENT ASIA</t>
  </si>
  <si>
    <t xml:space="preserve">
BestOne Outbond</t>
  </si>
  <si>
    <t xml:space="preserve">
WNS; 2025; OCTOBER 2025; 050-02-TEP5-SEP-2025; WNS - KREDIVO GROUP - PRODUCT DIVISION OUTING BOGOR TGL 3 - 4 OCT 25; BIAYA ACTIVITY TEAMBUILDING AKOMODASI CREW MEDICAL ASSISTANT RENT MOBIL ALL IN SOFT DRINK SNACK BUCKET DAN BANNER TGL 1-4 OCT 2025 ( 1 PCKG X Rp 35.610.000 ). TOTAL Rp 35.610.000 + PPN Rp 3.917.100 = Rp 39.527.100 - PPH 23 Rp 712.200 = Rp 38.814.900. INV NO : 058/INV/UQ/ONE/2025
PELUNASAN Rp 38.814.900 TGL 21 OCT 2025
TRF REK MANDIRI 1330012752721 an PT OASE NUSANTARA EKAPRIMA</t>
  </si>
  <si>
    <t xml:space="preserve">
HT MILIK KITA</t>
  </si>
  <si>
    <t>WNS; 2025; SEPTEMBER 2025; 051-01-TEP3-SEP-2025; WNS - UN WOMEN INDONESIA - 25TH ANNIVERSARY OF UNSCR 1325 CELEBRATION JAKARTA TGL 17 - 18 SEP 25; BIAYA HT COMETECK UV82 ( 6 UNIT X 4 DAYS X Rp 13.000). TOTAL Rp 312.000. INV NO : 8947/IX/2025
PELUNASAN Rp 312.000 TGL 21 OCT 2025
TRF REK : BCA 0374338524 an SATRIYO WICAKSONO</t>
  </si>
  <si>
    <t>KASBON RAMA</t>
  </si>
  <si>
    <t>KASBON KROM BANK</t>
  </si>
  <si>
    <t>TWC PRAMBANAN</t>
  </si>
  <si>
    <t>WNS; 2025; OCTOBER 2025; 022-01-TEP2-MAY-2025; WNS - APR - GALA DINNER ITMF IAF 2025 YOGYAKARTA TGL 24 OCT 25; BIAYA SEWA LAHAN WISNU ( 1 PCKG X Rp 60.000.000 ) BIAYA KEBERSIHAN ( 1 PCKG X Rp 6.000.000 ) BIAYA RECOVERY LAHAN ( 1 PCKG X Rp 6.000.000 ). TOTAL Rp 72.000.000 - PPH PS 4 Rp 5.405.405 = Rp 66.594.595. INV NO : 1027/KU.402/IV/2025
DP KE 1 Rp 21.600.000 TGL 28 MAY 2025
PELUNASAN Rp 44.994.595 TGL 21 OKTOBER 2025
TRF REK BNI 0030445955 an PT TAMAN WISATA CANDI BOROBUDUR &amp; RATU BOKO</t>
  </si>
  <si>
    <t>KAS BON CHELSEA</t>
  </si>
  <si>
    <t>PENGAJUAN KASBON EVENT MATRA LAUT</t>
  </si>
  <si>
    <t>RED DORZ</t>
  </si>
  <si>
    <t>MRP - AKOMODASI KREDIVO GAJIGESA</t>
  </si>
  <si>
    <t>MRSCC</t>
  </si>
  <si>
    <t>KASBON ELITERY</t>
  </si>
  <si>
    <t>BJS</t>
  </si>
  <si>
    <t>BI JATENG</t>
  </si>
  <si>
    <t>ITMF CONFERENCE</t>
  </si>
  <si>
    <t>KASBON  ITMF PART 2</t>
  </si>
  <si>
    <t>KASBON ITMF DINNER</t>
  </si>
  <si>
    <t>GIZ JAKARTA</t>
  </si>
  <si>
    <t>ITMF DINNER</t>
  </si>
  <si>
    <t>KASBON BALI ESTOUR</t>
  </si>
  <si>
    <t>BALI ES TOUR</t>
  </si>
  <si>
    <t>SAFETY DEPOSIT GIZ</t>
  </si>
  <si>
    <t>SAFETY DEPOSIT ELITERY</t>
  </si>
  <si>
    <t>PRIMA TEE</t>
  </si>
  <si>
    <t xml:space="preserve">
MC IKLIMA HARUM</t>
  </si>
  <si>
    <r>
      <rPr>
        <sz val="11"/>
        <color rgb="FF000000"/>
        <rFont val="Calibri"/>
        <family val="2"/>
        <scheme val="minor"/>
      </rPr>
      <t xml:space="preserve">WNS; 2025; OCTOBER 2025; 059-02-TEP5-SEP-2025; WNS - KROM BANK - ANNUAL GATHERING BOGOR TGL 24 -25 OCT 25; BIAYA MC GALA DINNER KROM BANK TGL 24 OCT 2025 ( 1 PCKG X Rp 5.600.000 ). TOTAL Rp 5.600.000 - PPH 21 Rp 140.000 = Rp 5.460.000. INV NO :
DP 1 Rp 2.000.000 TGL 16 OCT 2025
</t>
    </r>
    <r>
      <rPr>
        <b/>
        <sz val="11"/>
        <color rgb="FF000000"/>
        <rFont val="Calibri"/>
        <family val="2"/>
        <scheme val="minor"/>
      </rPr>
      <t xml:space="preserve">PELUNASAN Rp 3.460.000 TGL 23 OCT 2025
</t>
    </r>
    <r>
      <rPr>
        <sz val="11"/>
        <color rgb="FF000000"/>
        <rFont val="Calibri"/>
        <family val="2"/>
        <scheme val="minor"/>
      </rPr>
      <t>TRF REK BCA 1370138806 an IKLIMA NUR RAYHAN</t>
    </r>
  </si>
  <si>
    <t>KASBON SHEILIA</t>
  </si>
  <si>
    <t>PENGAJUAN KASBON PAJAK VARIO AB 4432 IQ</t>
  </si>
  <si>
    <t>MUSIK INDAH ENTERTAIMENT</t>
  </si>
  <si>
    <r>
      <rPr>
        <sz val="11"/>
        <color rgb="FF000000"/>
        <rFont val="Calibri"/>
        <family val="2"/>
        <scheme val="minor"/>
      </rPr>
      <t xml:space="preserve">WNS; 2025; OCTOBER 2025; 063-01-TEP5-OCT-2025; WNS - ELITERY - COMPANY OUTING BOGOR TGL 22 - 24 OCT 25; BIAYA MC GALA DINNER ELITERY OUTING 24 OCT 2025 ( 1 PCKG X Rp 3.080.000 ). TOTAL Rp 3.080.000 - PPH 21 Rp 77.000 = Rp 3.003.000. INV NO :
</t>
    </r>
    <r>
      <rPr>
        <b/>
        <sz val="11"/>
        <color rgb="FF000000"/>
        <rFont val="Calibri"/>
        <family val="2"/>
        <scheme val="minor"/>
      </rPr>
      <t xml:space="preserve">DP 50% Rp 1.500.000 TGL 16 OCT 2025
</t>
    </r>
    <r>
      <rPr>
        <sz val="11"/>
        <color rgb="FF000000"/>
        <rFont val="Calibri"/>
        <family val="2"/>
        <scheme val="minor"/>
      </rPr>
      <t>PELUNASAN Rp 1.503.000 TGL 23 OCT 2025
TRF REK BCA 3981424989 an INDAH PERMATA</t>
    </r>
  </si>
  <si>
    <t>EXTRAVAGONGZO</t>
  </si>
  <si>
    <r>
      <rPr>
        <sz val="11"/>
        <color rgb="FF000000"/>
        <rFont val="Calibri"/>
        <family val="2"/>
        <scheme val="minor"/>
      </rPr>
      <t xml:space="preserve">WNS; 2025; OCTOBER 2025; 022-01-TEP2-MAY-2025; WNS - APR - GALA DINNER ITMF IAF 2025 YOGYAKARTA TGL 24 OCT 25; BIAYA KOSTUM JAWA 50 PCS ( 1 PCKG X Rp 5.130.000 ) COKEKAN 4 PEMUSIK TGL 24 OCT 2025 ( 1 PCKG X Rp 5.130.000 ). TOTAL Rp 10.260.000 - PPH 21 Rp 256.500 = Rp 10.003.500. INV NO :
</t>
    </r>
    <r>
      <rPr>
        <b/>
        <sz val="11"/>
        <color rgb="FF000000"/>
        <rFont val="Calibri"/>
        <family val="2"/>
        <scheme val="minor"/>
      </rPr>
      <t xml:space="preserve">DP 50% Rp 5.000.000 TGL 16 OCT 2025
</t>
    </r>
    <r>
      <rPr>
        <sz val="11"/>
        <color rgb="FF000000"/>
        <rFont val="Calibri"/>
        <family val="2"/>
        <scheme val="minor"/>
      </rPr>
      <t>PELUNASAN Rp 5.003.500 TGL 23 OCT 2025
TRF REK BPD DIY 006221035989 an FAJAR AGUNG PAMBUDI</t>
    </r>
  </si>
  <si>
    <t>MC ALLYSA NATALIE</t>
  </si>
  <si>
    <t>WNS; 2025; OCTOBER 2025; 046-01-TEP3-AUG-2025; WNS - GIZ INDONESIA - IKI INTERFACE WORKSHOP JAKARTA TGL 21 OCT 25; BIAYA BILLINGUAL MC FULLDAY TGL 15 OCT 2025 ( 1 PCKG X Rp 12.000.000 ). TOTAL Rp 12.000.000 - PPH 21 Rp 300.000 = Rp 11.700.000. INV NO : GILANG
DP 50% Rp 5.850.000 TGL 16 OCT 2025
PELUNASAN Rp 5.850.000 TGL 23 OCT 2025
TRF REK BCA 0650924045 an ALLYSA NATALIE HARTONO
No NPWP : 60.649.642.0-043.000 an ALLYSA NATALIE HARTONO
No KTP : 3172065612010001 an ALLYSA NATALIE HARTONO</t>
  </si>
  <si>
    <t xml:space="preserve">
PMJ PAKET</t>
  </si>
  <si>
    <t xml:space="preserve">
WNW; 2025; OCTOBER 2025; 008-WNW-03-TEP6-SEP-2025; WNW - PTC - RETAIL MERCHANDISE PRODUCTION JAKARTA TGL 5 OCT 25; BIAYA KIRIM PAKET 2 KOLI ( 1 PCKG X Rp 550.000 ). TOTAL Rp 550.000. INV NO : 0676
PELUNASAN Rp 550.000 TGL 9 OCT 2025
TRF REK BCA 0600689665 an TEGUH SUNARYO</t>
  </si>
  <si>
    <t>WNS - GA - BIAYA PEMB FLOOR CHEMICAL, KARBOL CLEANER, SUNLIGHT, GAS PINK 5KG 1, GAS 3 KG 2, TTL 2.981.000
NO INV : 1166, 1154, 1158, 1160, 1161, 1162, 1163
PELUNASAN 18 SEPT 25</t>
  </si>
  <si>
    <t>WNS - GA - BIAYA PEMB PAKET HADIA JUARA 1,2,3 UNTUK KEGIATAN KEMERDEKAAN TOTAL 7 BOX, BIAYA PEMB GULA PASIR 2 PACK DAN TEH POCI UNTUK KEGIATAN KEMERDEKAAN 27 AGUST 25. TTL 889.500
NO INV : 1167 DAN 1168
PELUNASAN 25 SEPT 25</t>
  </si>
  <si>
    <t>WNS; 2025; AUGUST 2025; 036-01-TEP5-JUL-2025; WNS - YASULOR INDONESIA - L'OREAL SAPMENA HR UPSTREAM OFFSITE MEETING YOGYAKARTA TGL 19 - 22 AUG 25; BIAYA DOKUMENTASI YASULOR TGL 19-22 AUG 2025 ( 1 PCKG X Rp 15.750.000 ). TOTAL Rp 15.750.000 - PPH 23 Rp 315.000 = Rp 15.435.000. INV NO : #2601
PELUNASAN Rp 15.435.000 TGL 23 SEP 2025
TRF REK BCA 8610674900 an CV BHAGAWANTA PUTRA SAKTI</t>
  </si>
  <si>
    <t xml:space="preserve">
ALAM SARI SEMBAKO</t>
  </si>
  <si>
    <t>TEE - GA - BIAYA PEMB AQUA 330 ML 2 DUZ UNTUK TAKSHAKA BALI. TTL 86.000
PAYMENT TF KE BANK BCA 8270271554 A.N NI PUTU DEWI ALAM SARI
PELUNASAN 23 OKT 2025</t>
  </si>
  <si>
    <t>ADPMET</t>
  </si>
  <si>
    <t>A-PRO FREELANCE AGENT</t>
  </si>
  <si>
    <r>
      <rPr>
        <sz val="11"/>
        <color rgb="FF000000"/>
        <rFont val="Calibri"/>
        <family val="2"/>
        <scheme val="minor"/>
      </rPr>
      <t xml:space="preserve">WNS; 2025; OCTOBER 2025; 038-01-TEP5-AUG-2025; WNS - IFF - GALA DINNER 2025 YOGYAKARTA TGL 10 OCT 25; BIAYA SHOW MANAGEMENT DAN LO DONNY SIBARANI TGL 10 OCT 2025 ( 1 PCKG X Rp 9.750.000 ). TOTAL Rp 9.750.000 - PPH 21 Rp 243.750 = Rp 9.506.250. INV NO : 02
</t>
    </r>
    <r>
      <rPr>
        <b/>
        <sz val="11"/>
        <color rgb="FF000000"/>
        <rFont val="Calibri"/>
        <family val="2"/>
        <scheme val="minor"/>
      </rPr>
      <t xml:space="preserve">PELUNASAN Rp 9.506.250 TGL 28 OCT 2025
</t>
    </r>
    <r>
      <rPr>
        <sz val="11"/>
        <color rgb="FF000000"/>
        <rFont val="Calibri"/>
        <family val="2"/>
        <scheme val="minor"/>
      </rPr>
      <t>TRF REK MANDIRI 1180014442544 an SCOLASTICA RIANDINI</t>
    </r>
  </si>
  <si>
    <t>WNS - GA - BIAYA PEMB GAS 3KG, MINYAK GR, SAOS SAMBAL , BIAYA PEMB PLASTIK 100X120, BIAYA PEMB REFILE DIFUSER, SUNLIGHT, SPON CUCI, NIVEA MEN, PONDS . TTL 782.500
NO INV : 1171, 1173, 1172
PELUNASAN 2 OKT 2025</t>
  </si>
  <si>
    <t>WNS - GA - BIAYA PEMB ISI STRAPLES NO 10, BOLPIN GEL DAN KERTAS HVS A4 . TTL 1.210.000
NO INV : 1170
PELUNASAN 2 OKT 2025</t>
  </si>
  <si>
    <t>MRP - GA - BIAYA PEMB KERTAS LOCAL CHIP 450 LEMBAR @325. TTL 146.250
NO INV : 1169
PELUNASAN 2 OKT 2025</t>
  </si>
  <si>
    <t>WNS; 2025; OCTOBER 2025; 048-02-TEP5-SEP-2025; WNS - KREDIVO GROUP - GAJIGESA OUTING BOGOR TGL 26 - 27 SEP 25; BIAYA HT COMETECK UV82 ( 5 UNIT X 4 DAYS X Rp 13.000). TOTAL Rp 260.000. INV NO : 8951/IX/2025
PELUNASAN Rp 260.000 TGL 28 OCT 2025
TRF REK : BCA 0374338524 an SATRIYO WICAKSONO</t>
  </si>
  <si>
    <t>KASBON WG 002</t>
  </si>
  <si>
    <t>PENGAJUAN KASBON TA WTM DI LONDON TGL 31 OCT - 12 NOV 2025</t>
  </si>
  <si>
    <t>KAS BON GILANG</t>
  </si>
  <si>
    <t>PENGAJUAN KASBON EVENT IJK 3-4 NOV 2025</t>
  </si>
  <si>
    <t xml:space="preserve">
WNS; 2025; OCTOBER 2025; 034-01-TEP2-JUL-2025; WNS - DISPERINDAG DIY - JIBB YOGYAKARTA TGL 15 SEP - 5 OCT 25; BIAYA DOKUMENTASI TGL 16-18 &amp; 22-26 SEP 2025 ( 1 PCKG X Rp 12.000.000 ). TOTAL Rp 12.000.000 - PPH 23 Rp 240.000 = Rp 11.760.000. INV NO : #2608
PELUNASAN Rp 11.760.000 TGL 28 OCT 2025
TRF REK BCA 8610674900 an BHAGAWANTA PUTRA SAKTI</t>
  </si>
  <si>
    <t>PARAAKAR</t>
  </si>
  <si>
    <t>WNS; 2025; NOVEMBER 2025; 057-01-TEP4-SEP-2025; WNS - OJK DPBS - INTERNATIONAL ISLAMIC FINANCE CONFERENCE SURABAYA TGL 3 - 4 NOV 25; BIAYA PEMBUATAN CANVAS TOTE BAG CETAK DTF 500 PCS ( 500 PCS X Rp 75.000 ) CANVAS TOTE BAG BORDIR 300 PCS ( 300 PCS X Rp 175.000 ). TOTAL Rp 90.000.000. INV NO : IX/PAIWEO/07109/2025
DP 50% Rp 45.000.000 TGL 9 OCT 2025
PELUNASAN Rp 45.000.000 TGL 28 OCT 2025
TRF REK BCA 4451046467 an DONY PERMANA</t>
  </si>
  <si>
    <t>OJK</t>
  </si>
  <si>
    <t>MECA DIGITAL PRINTING</t>
  </si>
  <si>
    <r>
      <rPr>
        <sz val="11"/>
        <color rgb="FF000000"/>
        <rFont val="Calibri"/>
        <family val="2"/>
      </rPr>
      <t xml:space="preserve">WNS; 2025; OCTOBER 2025; 033-01-TEP2-JUL-2025; WNS - ITMF - ANNUAL CONFERENCE &amp; IAF WORLD FASHION CONVENTION YOGYAKRATA TGL 24 - 25 OCT 25; BIAYA LANYARD FULL COLOR 360 PCS ( 1 PCKG X Rp 4.248.000 ) PVC B3 360 PCS ( 1 PCKG X Rp 6.264.000 ). TOTAL Rp 10.512.000. INV NO : MC1348 &amp; MC1352
</t>
    </r>
    <r>
      <rPr>
        <b/>
        <sz val="11"/>
        <color rgb="FF000000"/>
        <rFont val="Calibri"/>
        <family val="2"/>
      </rPr>
      <t xml:space="preserve">DP 30% Rp 3.153.600 TGL 16 OCT 2025
</t>
    </r>
    <r>
      <rPr>
        <sz val="11"/>
        <color rgb="FF000000"/>
        <rFont val="Calibri"/>
        <family val="2"/>
      </rPr>
      <t>PELUNASAN Rp 7.358.400 TGL 30 OCT 2025
TRF REK BCA 8465612122 an KAISYA SAPUTRI</t>
    </r>
  </si>
  <si>
    <t>WNS - GA - BIAYA PEMB KERTAS FLIP CHART 10, BUKU GELATIK FOLIO 2, TINTA EPSON L15150 2. TTL 800.000
NO INV : 1174
PELUNASAN 14 OKT 2025</t>
  </si>
  <si>
    <t xml:space="preserve">
WNS; 2025; OCTOBER 2025; 034-01-TEP2-JUL-2025; WNS - DISPERINDAG DIY - JIBB YOGYAKARTA TGL 15 SEP - 5 OCT 25; BIAYA VIT 330 ML 12 BOX ( 1 PCKG X Rp 456.000 ). TOTAL Rp 456.000. INV NO : 1175
PELUNASAN Rp 456.000 TGL 14 OCT 2025
TRF REK MANDIRI 137 001 838 9292 an PT TEKUN LANCAR SEJAHTERA</t>
  </si>
  <si>
    <t>WNS - GA - BIAYA PEMB LAURIER 30 CM, LAURIER DAUN SIRIH DAN KANEBO, GAS 3 KG, MINYAK GORENG 2LT, PLASTIK WRAP, FLOOR CLEANER DAN KARBOL. TTL 419.500
NO INV : 1179, 1180
PELUNASAN 14 OKT 2025</t>
  </si>
  <si>
    <t>WNS; 2025; OCTOBER 2025; 034-01-TEP2-JUL-2025; WNS - DISPERINDAG DIY - JIBB YOGYAKARTA TGL 15 SEP - 5 OCT 25; BIAYA VIT 330ML 15 BOX ( 15 BOX X Rp 38.000 ). TOTAL Rp 570.000. INV NO : 1176
PELUNASAN Rp 570.000 TGL 21 OCT 2025
TRF REK MANDIRI 137 001 838 9292 an PT TEKUN LANCAR SEJAHTERA</t>
  </si>
  <si>
    <t xml:space="preserve">
PREMIERE TRANSPORT</t>
  </si>
  <si>
    <t xml:space="preserve">
WNS BALI; 2025; OCTOBER 2025; 003-02-TEP1-BALI-AUG-2025; WNS BALI - BALI ES TOUR - 3D2N CULTURAL ESCAPE YOGYAKARTA TGL 27 - 29 SEP 25; BIAYA MEDIUM BUS 1 UNIT TGL 27-29 SEP 2025 ( 1 PCKG X Rp 6.400.000 ). TOTAL Rp 6.400.000 - PPH 23 Rp 128.000 = Rp 6.272.000. INV NO :
PELUNASAN Rp 6.272.000 TGL 30 OCT 2025
TRF REK BCA 4451936829 an FELIX IVAN PRADIPTA
NPWP : 94.274.291.7-524.000 an CV PREMIERE TRANSPORT INDONESIA</t>
  </si>
  <si>
    <t>TAMAPICTURE PHOTO &amp; VIDEO CREATOR</t>
  </si>
  <si>
    <t>WNW; 2025; OCTOBER 2025; 006-WNW-01-TEP3-SEP-2025; WNW - ADPMET - SOSIALISASI HASIL MUNAS V DAN RAPAT KERJA 2025 CEPU TGL 16 OCT 25; BIAYA DOKUMENTASI TGL 16 OKT 2025 ( 1 PCKG X Rp 4.625.000 ). TOTAL Rp 4.625.000 - PPH 21 Rp 115.625 = Rp 4.509.375. INV NO :
DP 50% Rp 2.254.687 TGL 9 OCT 2025
PELUNASAN Rp 2.254.687 TGL 30 OCT 2025
TRF REK BCA 3850255651 an Deby Anggara Pratama
NIK : 3573011310920001 DEBY ANGGARA PRATAMA</t>
  </si>
  <si>
    <t xml:space="preserve">
CV ARIANDRA MEDIA ARDHANA</t>
  </si>
  <si>
    <t>WNS; 2025; OCTOBER 2025; 034-01-TEP2-JUL-2025; WNS - DISPERINDAG DIY - JIBB YOGYAKARTA TGL 15 SEP - 5 OCT 25; BIAYA EVENT PRODUCTION DISPERINDAG JIBB TGL 2-5 OKT 2025 ( 1 PCKG X Rp 80.000.000 ). TOTAL Rp 80.000.000 + PPN 11% Rp 8.800.000 = Rp 88.800.000 - PPH 23 Rp 1.600.000 = Rp 87.200.000. INV NO :
PELUNASAN Rp 87.200.000 TGL 6 NOV 2025
TRF REK MANDIRI 1370013972043 A.N CV ARIANDRA MEDIA ARDHANA</t>
  </si>
  <si>
    <t>KROM</t>
  </si>
  <si>
    <t>Out-HR-Pemberian Pinjaman</t>
  </si>
  <si>
    <t>Out-TEP-Sales Call</t>
  </si>
  <si>
    <t>Out-CFC-Pengembalian Suntikan Modal</t>
  </si>
  <si>
    <t>TOTAL PENGEMBALIAN SUNTIKAN MODAL</t>
  </si>
  <si>
    <t>Operasional All Departemen</t>
  </si>
  <si>
    <t>KEBUTUHAN BIAYA YANG BELUM MENJADI OUTSTANDING HUTANG, TETAPI AKAN DIBIAYAKAN</t>
  </si>
  <si>
    <t>Pembelian Cairan Ozym @2 Pcs</t>
  </si>
  <si>
    <t>Pembelian Seragam Capster @6 Pcs</t>
  </si>
  <si>
    <t>Pembelian Cape Gooper @10 Pcs</t>
  </si>
  <si>
    <t>Pembelian Sepatu Cliper ukuran 0.5 @3 Set</t>
  </si>
  <si>
    <t>Pembelian Produk Hairnutrition @100 Pcs</t>
  </si>
  <si>
    <t>Ads Conversi Gooper</t>
  </si>
  <si>
    <t>Sampah Gooper</t>
  </si>
  <si>
    <t>Sampah BID</t>
  </si>
  <si>
    <t>Internet Gooper</t>
  </si>
  <si>
    <t>Internet BID</t>
  </si>
  <si>
    <t>Mess Gooper</t>
  </si>
  <si>
    <t>Keperluan Dapur BID</t>
  </si>
  <si>
    <t>Kebersihan BID</t>
  </si>
  <si>
    <t>Kebersihan Gooper</t>
  </si>
  <si>
    <t>Laundry Gooper</t>
  </si>
  <si>
    <t>Snack Gooper</t>
  </si>
  <si>
    <t>Signature Drink Gooper</t>
  </si>
  <si>
    <t>Shampoo Gooper @6 Pcs</t>
  </si>
  <si>
    <t>Grand Opening Gooper</t>
  </si>
  <si>
    <t>Biaya Riset</t>
  </si>
  <si>
    <t>Kertas thermal Lite</t>
  </si>
  <si>
    <t>Disinfectan Bkleen 5 L @1 Pcs</t>
  </si>
  <si>
    <t>Roazor @2 Pcs</t>
  </si>
  <si>
    <t>Box Silet</t>
  </si>
  <si>
    <t>Sarung Tangan latex</t>
  </si>
  <si>
    <t>Pouch Sterilisasi 13,5 x 28 (Besar)</t>
  </si>
  <si>
    <t>Pouch Sterilisasi 9 x 26 (Kecil)</t>
  </si>
  <si>
    <t>Penutup Kepala Cat Rambut</t>
  </si>
  <si>
    <t>Sisir Over Comb</t>
  </si>
  <si>
    <t>Papper Bag  @100 Pcs</t>
  </si>
  <si>
    <t>Printing Signage</t>
  </si>
  <si>
    <t>KOL</t>
  </si>
  <si>
    <t>Conditioner Gooper</t>
  </si>
  <si>
    <t>AC Daikin 1/2 PK untuk Meeting Room BID</t>
  </si>
  <si>
    <t>Satnding Briket TV</t>
  </si>
  <si>
    <t>TV 43 Inch</t>
  </si>
  <si>
    <t>Kebersihan Corp</t>
  </si>
  <si>
    <t>WG001</t>
  </si>
  <si>
    <t>Pemeliharaan Corp</t>
  </si>
  <si>
    <t>Rumdin - WG-001</t>
  </si>
  <si>
    <t>Survey &amp; Trial Team Building Baru</t>
  </si>
  <si>
    <t>Product Launching 1</t>
  </si>
  <si>
    <t>Videographer Exxon Mobile</t>
  </si>
  <si>
    <t>Prototipe product dupe Peek Me with Sekar Jawi</t>
  </si>
  <si>
    <t>Survey Escape Room Lippo Plaza Jogja</t>
  </si>
  <si>
    <t>Survey Remen Jawi</t>
  </si>
  <si>
    <t>Survey Gajah Putih Resto Bali &amp; Team Building  &amp; Party Planner Bali, Silent Disco, Wellness Center</t>
  </si>
  <si>
    <t>Survey Local Resto Yogyakarta</t>
  </si>
  <si>
    <t>Buy &amp; Trial Unsolved Case Files</t>
  </si>
  <si>
    <t>Brainstorming Case File &amp; Escape Room with Games Master</t>
  </si>
  <si>
    <t>IDUL ADHA - PEMBELIAN KAMBING 2 KAMBING @3.500.000</t>
  </si>
  <si>
    <t>JUMPSTAR</t>
  </si>
  <si>
    <t>KARYAWAN SAKIT 2 ORANG RP250.000</t>
  </si>
  <si>
    <t>MID YEAR RECHARGE FEE TENAGA AHLI</t>
  </si>
  <si>
    <t>JOB PORTAL</t>
  </si>
  <si>
    <t>KOS RAMA 2 BULAN (JUNI - JULI)</t>
  </si>
  <si>
    <t>KOS VIANA 2 BULAN (JUNI - JULI)</t>
  </si>
  <si>
    <t>BPJS KESEHATAN</t>
  </si>
  <si>
    <t>BPJS KETENAGAKERJAAN</t>
  </si>
  <si>
    <t>BIAYA PEMB JASA CLEANING SERVICE BULAN MARET 2025</t>
  </si>
  <si>
    <t xml:space="preserve">BIAYA PEMB JASA PERSONIL SECURITY BULAN MARET 2025 </t>
  </si>
  <si>
    <t xml:space="preserve">BIAYA PEMB MANAJEMENT FEE JASA PERSONIL SECURITY BULAN MARET 2025 </t>
  </si>
  <si>
    <t xml:space="preserve">BIAYA PEMB TAMBAHAN BELI PUTUS SEPATU UNTUK JASA CLEANING SERVICE </t>
  </si>
  <si>
    <t xml:space="preserve">BIAYA PEMB FASILITASI AKTA PERUBAHAN PT WERKUDARA NIRWANA SAKTI </t>
  </si>
  <si>
    <t>BIAYA PEMB FEE KONSULTAN BULAN JANUARI 2025</t>
  </si>
  <si>
    <t>BIAYA PEMB JASA INHOUSE LAWYER PT WERKUDARA NIRWANA SAKTI BULAN MARET 2025</t>
  </si>
  <si>
    <t>Pengembalian Pinjaman Pokok</t>
  </si>
  <si>
    <t>KETERANGAN PENGEMBALIAN PINJAMAN POKOK</t>
  </si>
  <si>
    <t>TOTAL PENGEMBALIAN PINJAMAN POKOK</t>
  </si>
  <si>
    <t>Rekening</t>
  </si>
  <si>
    <t>Hold BRI - Bank Garansi</t>
  </si>
  <si>
    <t>11 Nov 23</t>
  </si>
  <si>
    <t>BCA Fadli</t>
  </si>
  <si>
    <t>ocbc wisata</t>
  </si>
  <si>
    <t>maybank wisata</t>
  </si>
  <si>
    <t>BCA wisata</t>
  </si>
  <si>
    <t>ocbc nadi</t>
  </si>
  <si>
    <t>cimb nadi</t>
  </si>
  <si>
    <t>BRI nadi</t>
  </si>
  <si>
    <t>ocbc utama kalpana</t>
  </si>
  <si>
    <t>bri utama kalpana</t>
  </si>
  <si>
    <t>ocbc Sakti</t>
  </si>
  <si>
    <t>mandiri sakti</t>
  </si>
  <si>
    <t>bri sakti</t>
  </si>
  <si>
    <t>uob SAKTI</t>
  </si>
  <si>
    <t>cimb maharaja pratama</t>
  </si>
  <si>
    <t>bri maharaja pratama</t>
  </si>
  <si>
    <t>1,644,202</t>
  </si>
  <si>
    <t>bri yukti</t>
  </si>
  <si>
    <t>13,790,562</t>
  </si>
  <si>
    <t>mandiri yukti</t>
  </si>
  <si>
    <t>keep utk Gaji juli'21</t>
  </si>
  <si>
    <t>sisa dana :</t>
  </si>
  <si>
    <t>Expenses Juli yang belum dibayar :</t>
  </si>
  <si>
    <t>CC HSBC lama - 4439 (Min Payment)</t>
  </si>
  <si>
    <t>CC HSBC baru - 6604</t>
  </si>
  <si>
    <t>CC bri platinum 9007  (Min Payment)</t>
  </si>
  <si>
    <t>Tag Grab Juli 21 (tunggu info dr bas)</t>
  </si>
  <si>
    <t>Kekurangan dana :</t>
  </si>
  <si>
    <t>No</t>
  </si>
  <si>
    <t>Hold BRI - Bank Garansi (IESR+HCML)</t>
  </si>
  <si>
    <t>Hold BRI - Bank Garansi - HCML</t>
  </si>
  <si>
    <t>Saldo - 14 Juli 21</t>
  </si>
  <si>
    <t>Saldo Bank - 18 Juli 21</t>
  </si>
  <si>
    <t>Saldo Bank - 23 Juli 22</t>
  </si>
  <si>
    <t>Saldo Bank - 27 Juli 23 Pagi</t>
  </si>
  <si>
    <t>Saldo Bank - 27 Juli 23 siang</t>
  </si>
  <si>
    <t>Saldo Bank - 30 Juli pagi</t>
  </si>
  <si>
    <t xml:space="preserve">Saldo Bank - 2 Agt </t>
  </si>
  <si>
    <t>Saldo Bank - 3 Agt</t>
  </si>
  <si>
    <t>Saldo Bank - 4 Agt</t>
  </si>
  <si>
    <t>Saldo Bank - 9 Agt</t>
  </si>
  <si>
    <t>Saldo Bank 12 Agt</t>
  </si>
  <si>
    <t>Minimum Saldo</t>
  </si>
  <si>
    <t>OB</t>
  </si>
  <si>
    <t>minim saldo</t>
  </si>
  <si>
    <t>Saldo Bank 17Agt</t>
  </si>
  <si>
    <t>Saldo Bank 23 Agt</t>
  </si>
  <si>
    <t>Saldo Bank 08 Okt</t>
  </si>
  <si>
    <t>Saldo Bank 23 Okt 2021</t>
  </si>
  <si>
    <t>Saldo Bank 05 NOV 2021</t>
  </si>
  <si>
    <t>Saldo Bank 09 NOV 2021</t>
  </si>
  <si>
    <t>Saldo Bank 11 NOV 2021</t>
  </si>
  <si>
    <t>Saldo Bank 15 NOV 2021</t>
  </si>
  <si>
    <t>Saldo Bank 23 NOV 2021</t>
  </si>
  <si>
    <t>Saldo Bank 25 NOV 2021</t>
  </si>
  <si>
    <t>Saldo Bank 01 DES 2021</t>
  </si>
  <si>
    <t>Saldo Bank 06 DES 2021 PAGI</t>
  </si>
  <si>
    <t>Saldo Bank 06 DES 2021 SORE</t>
  </si>
  <si>
    <t>Saldo Bank 14 DES 2021</t>
  </si>
  <si>
    <t>Saldo Bank 21 DES 2021</t>
  </si>
  <si>
    <t>Saldo Bank 24 DES 2021</t>
  </si>
  <si>
    <t>gaji</t>
  </si>
  <si>
    <t>OCBC UK - ob ke bca</t>
  </si>
  <si>
    <t>Rival</t>
  </si>
  <si>
    <t>done</t>
  </si>
  <si>
    <t>saldo</t>
  </si>
  <si>
    <t>kek bunga pinjaman</t>
  </si>
  <si>
    <t> 427,370.00</t>
  </si>
  <si>
    <t>ob ke bca</t>
  </si>
  <si>
    <t>Jay</t>
  </si>
  <si>
    <t>(80 jt ob ke bri 306)</t>
  </si>
  <si>
    <t>cimb MRP</t>
  </si>
  <si>
    <t>3.032.474</t>
  </si>
  <si>
    <t>bri MRP</t>
  </si>
  <si>
    <t>maybank - Wisata</t>
  </si>
  <si>
    <t>ob ke ocbc wisata</t>
  </si>
  <si>
    <t>BCA - Wisata</t>
  </si>
  <si>
    <t> 23,757,914.</t>
  </si>
  <si>
    <t> 16,030,819</t>
  </si>
  <si>
    <t>UOB- SAKTI</t>
  </si>
  <si>
    <t>Total Saldo Bank</t>
  </si>
  <si>
    <t>5 Agt</t>
  </si>
  <si>
    <t>selisih =</t>
  </si>
  <si>
    <t>BU 10 Agt 2021</t>
  </si>
  <si>
    <t>CC Mandiri Fadli</t>
  </si>
  <si>
    <t>keb 16 Nov 21</t>
  </si>
  <si>
    <t>CAPITAL</t>
  </si>
  <si>
    <t>sisa</t>
  </si>
  <si>
    <t>fee driver trisno</t>
  </si>
  <si>
    <t>DEPOSITO HSBC</t>
  </si>
  <si>
    <t>Corp</t>
  </si>
  <si>
    <t>admin</t>
  </si>
  <si>
    <t>DEPOSITO DBS</t>
  </si>
  <si>
    <t>lysit</t>
  </si>
  <si>
    <t>Fadli240977bagus</t>
  </si>
  <si>
    <t>DEPOSITO OCBC</t>
  </si>
  <si>
    <t>andre BKN</t>
  </si>
  <si>
    <t>DEPOSITO BRI</t>
  </si>
  <si>
    <t>PCR Add kasbon Citibank</t>
  </si>
  <si>
    <t>?</t>
  </si>
  <si>
    <t>HOLD BRI - HCML 21 des'20 - 20 mar'22</t>
  </si>
  <si>
    <t>HOLD BRI - IESR 24 agt-24 okt</t>
  </si>
  <si>
    <t>TOTAL CAPITAL</t>
  </si>
  <si>
    <t>GRAND TOTAL</t>
  </si>
  <si>
    <t>BU</t>
  </si>
  <si>
    <t>MRP</t>
  </si>
  <si>
    <t>SAKTI</t>
  </si>
  <si>
    <t>NADI/WNN</t>
  </si>
  <si>
    <t>WISATA</t>
  </si>
  <si>
    <t>BCA</t>
  </si>
  <si>
    <t>WNS CABANG BALI</t>
  </si>
  <si>
    <t>Tgl</t>
  </si>
  <si>
    <t>Ket</t>
  </si>
  <si>
    <t>Total</t>
  </si>
  <si>
    <t>OCBC -IDR</t>
  </si>
  <si>
    <t>OCBC - USD</t>
  </si>
  <si>
    <t>OCBC - EUR</t>
  </si>
  <si>
    <t>BCA SYARIAH 995</t>
  </si>
  <si>
    <t>BCA SYARIAH 998</t>
  </si>
  <si>
    <t>BNI 791</t>
  </si>
  <si>
    <t>BNI 793</t>
  </si>
  <si>
    <t>BNI 943</t>
  </si>
  <si>
    <t>BNI 316</t>
  </si>
  <si>
    <t>OCBC - IDR</t>
  </si>
  <si>
    <t>MAYBANK</t>
  </si>
  <si>
    <t>BCA SYARIAH</t>
  </si>
  <si>
    <t>FADLI FAHMI ALI</t>
  </si>
  <si>
    <t xml:space="preserve">MAYBANK
</t>
  </si>
  <si>
    <t xml:space="preserve">DANAMON
</t>
  </si>
  <si>
    <t>BNI 595</t>
  </si>
  <si>
    <t>BNI 950</t>
  </si>
  <si>
    <t>Saldo Riil</t>
  </si>
  <si>
    <t>Saldo Dipake</t>
  </si>
  <si>
    <t>sdh dibyr lunas mggu lalu</t>
  </si>
  <si>
    <t>Training Branch Manager</t>
  </si>
  <si>
    <t>CSR ke Darul Ullum by Lazismu</t>
  </si>
  <si>
    <t>Posting lowongan di Glints</t>
  </si>
  <si>
    <t>Posting lowongan di linkedIn (by CC)</t>
  </si>
  <si>
    <t>Training Buttler for GA</t>
  </si>
  <si>
    <t>Blm minus tp perlu waspada</t>
  </si>
  <si>
    <t>Dimas</t>
  </si>
  <si>
    <t>Adiel</t>
  </si>
  <si>
    <t>Fadli</t>
  </si>
  <si>
    <t>Dita</t>
  </si>
  <si>
    <t>Persiapan subscription (362 jt / tahun -&gt; per bulan = 35 jt an)</t>
  </si>
  <si>
    <t>WTM London : 
- tiket pesawat sdh masuk ek CC 100 jt
- sisanya 74.636.000</t>
  </si>
  <si>
    <t>Agt</t>
  </si>
  <si>
    <t xml:space="preserve">Menerima suntikan modal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</si>
</sst>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mmmm\-yyyy"/>
    <numFmt numFmtId="168" formatCode="_(* #,##0_);_(* \(#,##0\);_(* &quot;-&quot;??_);_(@_)"/>
    <numFmt numFmtId="169" formatCode="[$-409]d\-mmm\-yy;@"/>
    <numFmt numFmtId="170" formatCode="[$-409]d\-mmm;@"/>
    <numFmt numFmtId="171" formatCode="[$-F800]dddd\,\ mmmm\ dd\,\ yyyy"/>
    <numFmt numFmtId="172" formatCode="dd/mm/yyyy;@"/>
    <numFmt numFmtId="173" formatCode="[$-409]dd\-mmm\-yy;@"/>
    <numFmt numFmtId="174" formatCode="_-* #,##0_-;\-* #,##0_-;_-* &quot;-&quot;??_-;_-@_-"/>
    <numFmt numFmtId="175" formatCode="_(* #,##0.0_);_(* \(#,##0.0\);_(* &quot;-&quot;??_);_(@_)"/>
  </numFmts>
  <fonts count="10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 tint="0.249977111117893"/>
      <name val="Calibri Light"/>
      <family val="2"/>
      <scheme val="maj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8"/>
      <color theme="10"/>
      <name val="Arial"/>
      <family val="2"/>
    </font>
    <font>
      <u/>
      <sz val="10"/>
      <color theme="1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theme="1" tint="0.249977111117893"/>
      <name val="Calibri Light"/>
      <family val="2"/>
      <scheme val="maj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name val="Arial"/>
      <family val="1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14"/>
      <name val="Calibri"/>
      <family val="2"/>
      <scheme val="minor"/>
    </font>
    <font>
      <sz val="23"/>
      <color rgb="FFDA251C"/>
      <name val="Open Sans"/>
      <family val="2"/>
    </font>
    <font>
      <sz val="10"/>
      <color rgb="FF000000"/>
      <name val="Tahomal"/>
    </font>
    <font>
      <b/>
      <sz val="10"/>
      <color rgb="FF666666"/>
      <name val="Arial"/>
      <family val="2"/>
    </font>
    <font>
      <sz val="8"/>
      <color rgb="FF000000"/>
      <name val="Tahomal"/>
    </font>
    <font>
      <b/>
      <sz val="8"/>
      <color rgb="FF0049A2"/>
      <name val="Arial"/>
      <family val="2"/>
    </font>
    <font>
      <sz val="9"/>
      <color rgb="FF5D5D5D"/>
      <name val="Arial"/>
      <family val="2"/>
    </font>
    <font>
      <sz val="10"/>
      <name val="Open Sans"/>
      <family val="2"/>
    </font>
    <font>
      <sz val="12"/>
      <name val="Calibri"/>
      <family val="2"/>
      <scheme val="minor"/>
    </font>
    <font>
      <sz val="12"/>
      <name val="Arial"/>
      <family val="2"/>
    </font>
    <font>
      <sz val="12"/>
      <name val="Tahomal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DA251C"/>
      <name val="Open Sans"/>
      <family val="2"/>
    </font>
    <font>
      <b/>
      <sz val="12"/>
      <color rgb="FFDA251C"/>
      <name val="Open Sans"/>
      <family val="2"/>
    </font>
    <font>
      <sz val="12"/>
      <color rgb="FF000000"/>
      <name val="Arial"/>
      <family val="2"/>
    </font>
    <font>
      <sz val="12"/>
      <color rgb="FF0049A2"/>
      <name val="Arial"/>
      <family val="2"/>
    </font>
    <font>
      <sz val="12"/>
      <color rgb="FF555555"/>
      <name val="Arial"/>
      <family val="2"/>
    </font>
    <font>
      <sz val="12"/>
      <color rgb="FF00346D"/>
      <name val="Arial"/>
      <family val="2"/>
    </font>
    <font>
      <b/>
      <sz val="9"/>
      <color rgb="FF000000"/>
      <name val="Arial"/>
      <family val="2"/>
    </font>
    <font>
      <sz val="12"/>
      <color rgb="FF000000"/>
      <name val="Tahomal"/>
    </font>
    <font>
      <sz val="8"/>
      <color rgb="FF000000"/>
      <name val="Arial"/>
      <family val="2"/>
    </font>
    <font>
      <sz val="8"/>
      <color rgb="FF555555"/>
      <name val="Arial"/>
      <family val="2"/>
    </font>
    <font>
      <b/>
      <sz val="8"/>
      <color rgb="FF00346D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 Light"/>
      <family val="2"/>
      <scheme val="maj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BB"/>
      <name val="Verdana"/>
      <family val="2"/>
    </font>
    <font>
      <sz val="12"/>
      <color rgb="FF212529"/>
      <name val="Segoe UI"/>
      <family val="2"/>
    </font>
    <font>
      <sz val="12"/>
      <color rgb="FF333333"/>
      <name val="Open Sans"/>
      <family val="2"/>
    </font>
    <font>
      <b/>
      <sz val="10"/>
      <color rgb="FF0049A2"/>
      <name val="Arial"/>
      <family val="2"/>
    </font>
    <font>
      <sz val="10"/>
      <color rgb="FF0006F0"/>
      <name val="Arial Nova Cond"/>
      <family val="2"/>
    </font>
    <font>
      <b/>
      <sz val="10"/>
      <name val="Arial Nova Cond"/>
      <family val="2"/>
    </font>
    <font>
      <sz val="10"/>
      <color rgb="FF0000BB"/>
      <name val="Verdana"/>
      <family val="2"/>
    </font>
    <font>
      <b/>
      <sz val="12"/>
      <color rgb="FF00346D"/>
      <name val="Arial"/>
      <family val="2"/>
    </font>
    <font>
      <sz val="7"/>
      <color rgb="FF212529"/>
      <name val="Segoe UI"/>
      <family val="2"/>
    </font>
    <font>
      <b/>
      <sz val="12"/>
      <color rgb="FF0049A2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49A2"/>
      <name val="Calibri"/>
      <family val="2"/>
      <scheme val="minor"/>
    </font>
    <font>
      <sz val="5"/>
      <color rgb="FF000000"/>
      <name val="Tahomal"/>
    </font>
    <font>
      <b/>
      <sz val="7"/>
      <color rgb="FF333333"/>
      <name val="Segoe U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6"/>
      <color theme="5"/>
      <name val="Calibri Light"/>
      <family val="2"/>
      <scheme val="major"/>
    </font>
    <font>
      <sz val="10"/>
      <color theme="1" tint="0.24994659260841701"/>
      <name val="Calibri Light"/>
      <family val="2"/>
      <scheme val="major"/>
    </font>
    <font>
      <b/>
      <sz val="11"/>
      <color theme="1" tint="0.24994659260841701"/>
      <name val="Calibri Light"/>
      <family val="2"/>
      <scheme val="major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48"/>
      <color theme="6"/>
      <name val="Calibri Light"/>
      <family val="2"/>
      <scheme val="major"/>
    </font>
    <font>
      <b/>
      <sz val="10"/>
      <color theme="6"/>
      <name val="Calibri"/>
      <family val="1"/>
      <scheme val="minor"/>
    </font>
    <font>
      <b/>
      <sz val="10"/>
      <name val="Calibri Light"/>
      <family val="2"/>
      <scheme val="major"/>
    </font>
    <font>
      <sz val="11"/>
      <color theme="1"/>
      <name val="Microsoft Sans Serif"/>
      <family val="2"/>
    </font>
    <font>
      <sz val="11"/>
      <color theme="1" tint="0.2499465926084170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5"/>
      <color theme="5"/>
      <name val="Calibri Light"/>
      <family val="1"/>
      <scheme val="major"/>
    </font>
    <font>
      <sz val="11"/>
      <color theme="4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</font>
    <font>
      <u/>
      <sz val="10"/>
      <color theme="8" tint="-0.249977111117893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indexed="22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C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 tint="-0.1499984740745262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Up">
        <bgColor theme="0" tint="-0.499984740745262"/>
      </patternFill>
    </fill>
    <fill>
      <patternFill patternType="lightUp">
        <bgColor theme="0"/>
      </patternFill>
    </fill>
    <fill>
      <patternFill patternType="lightUp">
        <bgColor theme="2" tint="-0.49998474074526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lightUp">
        <bgColor theme="2" tint="-0.24997711111789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44">
    <xf numFmtId="0" fontId="0" fillId="0" borderId="0"/>
    <xf numFmtId="166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20" fillId="0" borderId="0"/>
    <xf numFmtId="166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1" fillId="0" borderId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3" fillId="0" borderId="0"/>
    <xf numFmtId="166" fontId="20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0" fontId="72" fillId="0" borderId="0" applyNumberFormat="0" applyFill="0" applyBorder="0" applyProtection="0">
      <alignment horizontal="left"/>
    </xf>
    <xf numFmtId="0" fontId="1" fillId="0" borderId="0"/>
    <xf numFmtId="0" fontId="23" fillId="0" borderId="0"/>
    <xf numFmtId="0" fontId="73" fillId="0" borderId="0" applyNumberFormat="0" applyFill="0" applyProtection="0">
      <alignment horizontal="left"/>
    </xf>
    <xf numFmtId="0" fontId="74" fillId="0" borderId="0" applyNumberFormat="0" applyFill="0" applyProtection="0"/>
    <xf numFmtId="0" fontId="75" fillId="0" borderId="0"/>
    <xf numFmtId="165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49" fillId="0" borderId="0"/>
    <xf numFmtId="43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77" fillId="0" borderId="0" applyNumberFormat="0" applyFill="0" applyBorder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75" fillId="0" borderId="0" applyFont="0" applyFill="0" applyBorder="0" applyAlignment="0" applyProtection="0"/>
    <xf numFmtId="0" fontId="78" fillId="0" borderId="0">
      <alignment horizontal="right" vertical="center"/>
    </xf>
    <xf numFmtId="0" fontId="79" fillId="0" borderId="0">
      <alignment horizontal="right"/>
    </xf>
    <xf numFmtId="0" fontId="80" fillId="32" borderId="0">
      <alignment horizontal="center" vertical="center"/>
    </xf>
    <xf numFmtId="0" fontId="79" fillId="0" borderId="0">
      <alignment horizontal="center" vertical="center"/>
    </xf>
    <xf numFmtId="0" fontId="23" fillId="0" borderId="0"/>
    <xf numFmtId="0" fontId="73" fillId="0" borderId="0" applyNumberFormat="0" applyFill="0" applyProtection="0">
      <alignment horizontal="left"/>
    </xf>
    <xf numFmtId="0" fontId="1" fillId="0" borderId="0"/>
    <xf numFmtId="44" fontId="49" fillId="0" borderId="0" applyFont="0" applyFill="0" applyBorder="0" applyAlignment="0" applyProtection="0"/>
    <xf numFmtId="0" fontId="81" fillId="0" borderId="0"/>
    <xf numFmtId="0" fontId="4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2" fillId="0" borderId="0" applyNumberFormat="0" applyFill="0" applyBorder="0" applyProtection="0">
      <alignment horizontal="left"/>
    </xf>
    <xf numFmtId="0" fontId="74" fillId="0" borderId="0" applyNumberFormat="0" applyFill="0" applyProtection="0"/>
    <xf numFmtId="0" fontId="49" fillId="0" borderId="0"/>
    <xf numFmtId="0" fontId="1" fillId="0" borderId="0"/>
    <xf numFmtId="41" fontId="4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0" borderId="0">
      <alignment horizontal="left" wrapText="1"/>
    </xf>
    <xf numFmtId="0" fontId="83" fillId="0" borderId="0" applyNumberFormat="0" applyFill="0" applyBorder="0" applyProtection="0">
      <alignment horizontal="left"/>
    </xf>
    <xf numFmtId="0" fontId="1" fillId="0" borderId="0"/>
    <xf numFmtId="0" fontId="84" fillId="0" borderId="0" applyNumberFormat="0" applyFill="0" applyBorder="0" applyProtection="0"/>
    <xf numFmtId="0" fontId="49" fillId="0" borderId="0"/>
    <xf numFmtId="0" fontId="85" fillId="0" borderId="0">
      <alignment horizontal="left" wrapText="1"/>
    </xf>
    <xf numFmtId="43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76" fillId="0" borderId="0"/>
    <xf numFmtId="0" fontId="23" fillId="0" borderId="0"/>
    <xf numFmtId="0" fontId="1" fillId="0" borderId="0"/>
    <xf numFmtId="41" fontId="1" fillId="0" borderId="0" applyFont="0" applyFill="0" applyBorder="0" applyAlignment="0" applyProtection="0"/>
    <xf numFmtId="41" fontId="76" fillId="0" borderId="0" applyFont="0" applyFill="0" applyBorder="0" applyAlignment="0" applyProtection="0"/>
    <xf numFmtId="0" fontId="1" fillId="0" borderId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43" fontId="49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41" fontId="49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</cellStyleXfs>
  <cellXfs count="784">
    <xf numFmtId="0" fontId="0" fillId="0" borderId="0" xfId="0"/>
    <xf numFmtId="0" fontId="4" fillId="0" borderId="0" xfId="0" applyFont="1"/>
    <xf numFmtId="167" fontId="4" fillId="0" borderId="0" xfId="0" applyNumberFormat="1" applyFont="1" applyAlignment="1" applyProtection="1">
      <alignment horizontal="right" wrapText="1"/>
      <protection locked="0"/>
    </xf>
    <xf numFmtId="168" fontId="4" fillId="2" borderId="0" xfId="1" applyNumberFormat="1" applyFont="1" applyFill="1" applyBorder="1"/>
    <xf numFmtId="0" fontId="7" fillId="3" borderId="1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3" fontId="4" fillId="0" borderId="1" xfId="0" applyNumberFormat="1" applyFont="1" applyBorder="1"/>
    <xf numFmtId="3" fontId="4" fillId="0" borderId="1" xfId="0" applyNumberFormat="1" applyFont="1" applyBorder="1" applyProtection="1">
      <protection locked="0"/>
    </xf>
    <xf numFmtId="0" fontId="4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wrapText="1"/>
    </xf>
    <xf numFmtId="0" fontId="11" fillId="0" borderId="0" xfId="0" applyFont="1" applyAlignment="1">
      <alignment horizontal="left" indent="1"/>
    </xf>
    <xf numFmtId="0" fontId="10" fillId="0" borderId="0" xfId="0" applyFont="1"/>
    <xf numFmtId="164" fontId="12" fillId="0" borderId="0" xfId="0" applyNumberFormat="1" applyFont="1" applyAlignment="1">
      <alignment wrapText="1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4" fontId="10" fillId="0" borderId="0" xfId="0" applyNumberFormat="1" applyFont="1"/>
    <xf numFmtId="3" fontId="13" fillId="0" borderId="0" xfId="0" applyNumberFormat="1" applyFont="1"/>
    <xf numFmtId="0" fontId="11" fillId="0" borderId="0" xfId="0" applyFont="1" applyAlignment="1">
      <alignment wrapText="1"/>
    </xf>
    <xf numFmtId="3" fontId="10" fillId="0" borderId="2" xfId="0" applyNumberFormat="1" applyFont="1" applyBorder="1"/>
    <xf numFmtId="0" fontId="14" fillId="3" borderId="3" xfId="0" applyFont="1" applyFill="1" applyBorder="1" applyAlignment="1">
      <alignment wrapText="1"/>
    </xf>
    <xf numFmtId="3" fontId="13" fillId="3" borderId="4" xfId="0" applyNumberFormat="1" applyFont="1" applyFill="1" applyBorder="1"/>
    <xf numFmtId="164" fontId="13" fillId="3" borderId="5" xfId="0" applyNumberFormat="1" applyFont="1" applyFill="1" applyBorder="1"/>
    <xf numFmtId="3" fontId="10" fillId="5" borderId="2" xfId="0" applyNumberFormat="1" applyFont="1" applyFill="1" applyBorder="1"/>
    <xf numFmtId="3" fontId="10" fillId="0" borderId="1" xfId="0" applyNumberFormat="1" applyFont="1" applyBorder="1" applyProtection="1">
      <protection locked="0"/>
    </xf>
    <xf numFmtId="3" fontId="10" fillId="11" borderId="1" xfId="0" applyNumberFormat="1" applyFont="1" applyFill="1" applyBorder="1" applyProtection="1">
      <protection locked="0"/>
    </xf>
    <xf numFmtId="3" fontId="10" fillId="13" borderId="2" xfId="0" applyNumberFormat="1" applyFont="1" applyFill="1" applyBorder="1"/>
    <xf numFmtId="3" fontId="10" fillId="2" borderId="2" xfId="0" applyNumberFormat="1" applyFont="1" applyFill="1" applyBorder="1" applyProtection="1">
      <protection locked="0"/>
    </xf>
    <xf numFmtId="3" fontId="10" fillId="0" borderId="0" xfId="0" applyNumberFormat="1" applyFont="1"/>
    <xf numFmtId="3" fontId="10" fillId="0" borderId="0" xfId="0" applyNumberFormat="1" applyFont="1" applyProtection="1">
      <protection locked="0"/>
    </xf>
    <xf numFmtId="164" fontId="11" fillId="0" borderId="0" xfId="0" applyNumberFormat="1" applyFont="1" applyProtection="1">
      <protection locked="0"/>
    </xf>
    <xf numFmtId="0" fontId="13" fillId="14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164" fontId="10" fillId="0" borderId="1" xfId="0" applyNumberFormat="1" applyFont="1" applyBorder="1" applyProtection="1">
      <protection locked="0"/>
    </xf>
    <xf numFmtId="3" fontId="10" fillId="13" borderId="1" xfId="0" applyNumberFormat="1" applyFont="1" applyFill="1" applyBorder="1"/>
    <xf numFmtId="3" fontId="10" fillId="2" borderId="1" xfId="0" applyNumberFormat="1" applyFont="1" applyFill="1" applyBorder="1" applyProtection="1">
      <protection locked="0"/>
    </xf>
    <xf numFmtId="0" fontId="10" fillId="8" borderId="0" xfId="0" applyFont="1" applyFill="1"/>
    <xf numFmtId="0" fontId="10" fillId="0" borderId="0" xfId="0" applyFont="1" applyAlignment="1">
      <alignment wrapText="1"/>
    </xf>
    <xf numFmtId="0" fontId="14" fillId="3" borderId="4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168" fontId="0" fillId="0" borderId="0" xfId="1" applyNumberFormat="1" applyFont="1" applyBorder="1"/>
    <xf numFmtId="9" fontId="0" fillId="0" borderId="0" xfId="0" applyNumberFormat="1"/>
    <xf numFmtId="0" fontId="14" fillId="3" borderId="4" xfId="0" applyFont="1" applyFill="1" applyBorder="1" applyAlignment="1">
      <alignment horizontal="center" wrapText="1"/>
    </xf>
    <xf numFmtId="0" fontId="14" fillId="15" borderId="3" xfId="0" applyFont="1" applyFill="1" applyBorder="1" applyAlignment="1">
      <alignment vertical="center" wrapText="1"/>
    </xf>
    <xf numFmtId="168" fontId="0" fillId="0" borderId="0" xfId="1" applyNumberFormat="1" applyFont="1"/>
    <xf numFmtId="168" fontId="2" fillId="8" borderId="0" xfId="1" applyNumberFormat="1" applyFont="1" applyFill="1" applyBorder="1" applyAlignment="1">
      <alignment horizontal="center"/>
    </xf>
    <xf numFmtId="168" fontId="2" fillId="8" borderId="0" xfId="1" applyNumberFormat="1" applyFont="1" applyFill="1" applyBorder="1" applyAlignment="1">
      <alignment horizontal="left"/>
    </xf>
    <xf numFmtId="168" fontId="0" fillId="8" borderId="0" xfId="1" applyNumberFormat="1" applyFont="1" applyFill="1" applyBorder="1" applyAlignment="1">
      <alignment horizontal="right"/>
    </xf>
    <xf numFmtId="168" fontId="0" fillId="18" borderId="0" xfId="1" applyNumberFormat="1" applyFont="1" applyFill="1" applyBorder="1" applyAlignment="1">
      <alignment horizontal="right"/>
    </xf>
    <xf numFmtId="168" fontId="2" fillId="0" borderId="0" xfId="1" applyNumberFormat="1" applyFont="1" applyAlignment="1">
      <alignment horizontal="center"/>
    </xf>
    <xf numFmtId="3" fontId="0" fillId="0" borderId="0" xfId="0" applyNumberFormat="1"/>
    <xf numFmtId="0" fontId="0" fillId="18" borderId="0" xfId="0" applyFill="1" applyAlignment="1">
      <alignment horizontal="right"/>
    </xf>
    <xf numFmtId="168" fontId="0" fillId="0" borderId="4" xfId="1" applyNumberFormat="1" applyFont="1" applyBorder="1"/>
    <xf numFmtId="168" fontId="0" fillId="8" borderId="0" xfId="1" applyNumberFormat="1" applyFont="1" applyFill="1" applyBorder="1" applyAlignment="1">
      <alignment horizontal="left"/>
    </xf>
    <xf numFmtId="168" fontId="0" fillId="8" borderId="0" xfId="0" applyNumberFormat="1" applyFill="1" applyAlignment="1">
      <alignment horizontal="right"/>
    </xf>
    <xf numFmtId="168" fontId="0" fillId="0" borderId="0" xfId="0" applyNumberFormat="1"/>
    <xf numFmtId="168" fontId="2" fillId="4" borderId="0" xfId="0" applyNumberFormat="1" applyFont="1" applyFill="1"/>
    <xf numFmtId="168" fontId="2" fillId="4" borderId="0" xfId="0" applyNumberFormat="1" applyFont="1" applyFill="1" applyAlignment="1">
      <alignment horizontal="left"/>
    </xf>
    <xf numFmtId="168" fontId="2" fillId="0" borderId="0" xfId="1" applyNumberFormat="1" applyFont="1"/>
    <xf numFmtId="0" fontId="2" fillId="0" borderId="0" xfId="0" applyFont="1"/>
    <xf numFmtId="0" fontId="2" fillId="8" borderId="0" xfId="0" applyFont="1" applyFill="1" applyAlignment="1">
      <alignment horizontal="center"/>
    </xf>
    <xf numFmtId="168" fontId="2" fillId="8" borderId="0" xfId="1" applyNumberFormat="1" applyFont="1" applyFill="1" applyBorder="1"/>
    <xf numFmtId="0" fontId="2" fillId="8" borderId="0" xfId="0" applyFont="1" applyFill="1"/>
    <xf numFmtId="0" fontId="2" fillId="8" borderId="0" xfId="0" quotePrefix="1" applyFont="1" applyFill="1" applyAlignment="1">
      <alignment horizontal="right"/>
    </xf>
    <xf numFmtId="168" fontId="2" fillId="8" borderId="0" xfId="1" applyNumberFormat="1" applyFont="1" applyFill="1"/>
    <xf numFmtId="168" fontId="2" fillId="8" borderId="0" xfId="1" applyNumberFormat="1" applyFont="1" applyFill="1" applyAlignment="1">
      <alignment horizontal="left"/>
    </xf>
    <xf numFmtId="168" fontId="2" fillId="8" borderId="0" xfId="0" applyNumberFormat="1" applyFont="1" applyFill="1"/>
    <xf numFmtId="168" fontId="2" fillId="8" borderId="0" xfId="1" applyNumberFormat="1" applyFont="1" applyFill="1" applyBorder="1" applyAlignment="1">
      <alignment horizontal="right"/>
    </xf>
    <xf numFmtId="168" fontId="2" fillId="8" borderId="0" xfId="1" quotePrefix="1" applyNumberFormat="1" applyFont="1" applyFill="1" applyAlignment="1">
      <alignment horizontal="right"/>
    </xf>
    <xf numFmtId="168" fontId="2" fillId="8" borderId="0" xfId="1" quotePrefix="1" applyNumberFormat="1" applyFont="1" applyFill="1" applyAlignment="1">
      <alignment horizontal="left"/>
    </xf>
    <xf numFmtId="168" fontId="2" fillId="8" borderId="0" xfId="0" quotePrefix="1" applyNumberFormat="1" applyFont="1" applyFill="1" applyAlignment="1">
      <alignment horizontal="right"/>
    </xf>
    <xf numFmtId="0" fontId="2" fillId="8" borderId="0" xfId="0" applyFont="1" applyFill="1" applyAlignment="1">
      <alignment horizontal="left"/>
    </xf>
    <xf numFmtId="168" fontId="2" fillId="8" borderId="0" xfId="0" quotePrefix="1" applyNumberFormat="1" applyFont="1" applyFill="1" applyAlignment="1">
      <alignment horizontal="left"/>
    </xf>
    <xf numFmtId="0" fontId="2" fillId="8" borderId="0" xfId="0" quotePrefix="1" applyFont="1" applyFill="1" applyAlignment="1">
      <alignment horizontal="left"/>
    </xf>
    <xf numFmtId="0" fontId="2" fillId="8" borderId="0" xfId="0" applyFont="1" applyFill="1" applyAlignment="1">
      <alignment horizontal="right"/>
    </xf>
    <xf numFmtId="168" fontId="2" fillId="4" borderId="0" xfId="1" applyNumberFormat="1" applyFont="1" applyFill="1"/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0" fontId="0" fillId="8" borderId="0" xfId="0" applyFill="1" applyAlignment="1">
      <alignment horizontal="left"/>
    </xf>
    <xf numFmtId="0" fontId="2" fillId="0" borderId="0" xfId="0" applyFont="1" applyAlignment="1">
      <alignment horizontal="right"/>
    </xf>
    <xf numFmtId="168" fontId="0" fillId="0" borderId="0" xfId="1" applyNumberFormat="1" applyFont="1" applyAlignment="1">
      <alignment horizontal="right"/>
    </xf>
    <xf numFmtId="168" fontId="0" fillId="0" borderId="0" xfId="1" applyNumberFormat="1" applyFont="1" applyAlignment="1">
      <alignment wrapText="1"/>
    </xf>
    <xf numFmtId="0" fontId="0" fillId="0" borderId="6" xfId="0" applyBorder="1"/>
    <xf numFmtId="0" fontId="10" fillId="0" borderId="6" xfId="0" applyFont="1" applyBorder="1"/>
    <xf numFmtId="164" fontId="10" fillId="8" borderId="1" xfId="0" applyNumberFormat="1" applyFont="1" applyFill="1" applyBorder="1" applyProtection="1">
      <protection locked="0"/>
    </xf>
    <xf numFmtId="3" fontId="10" fillId="19" borderId="2" xfId="0" applyNumberFormat="1" applyFont="1" applyFill="1" applyBorder="1"/>
    <xf numFmtId="0" fontId="10" fillId="8" borderId="6" xfId="0" applyFont="1" applyFill="1" applyBorder="1"/>
    <xf numFmtId="3" fontId="10" fillId="21" borderId="2" xfId="0" applyNumberFormat="1" applyFont="1" applyFill="1" applyBorder="1"/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wrapText="1"/>
    </xf>
    <xf numFmtId="0" fontId="10" fillId="8" borderId="6" xfId="0" applyFont="1" applyFill="1" applyBorder="1" applyAlignment="1">
      <alignment horizontal="center" vertical="center"/>
    </xf>
    <xf numFmtId="0" fontId="14" fillId="8" borderId="11" xfId="0" applyFont="1" applyFill="1" applyBorder="1"/>
    <xf numFmtId="0" fontId="14" fillId="8" borderId="12" xfId="0" applyFont="1" applyFill="1" applyBorder="1"/>
    <xf numFmtId="0" fontId="14" fillId="16" borderId="12" xfId="0" applyFont="1" applyFill="1" applyBorder="1"/>
    <xf numFmtId="0" fontId="14" fillId="16" borderId="8" xfId="0" applyFont="1" applyFill="1" applyBorder="1"/>
    <xf numFmtId="164" fontId="10" fillId="16" borderId="2" xfId="0" applyNumberFormat="1" applyFont="1" applyFill="1" applyBorder="1" applyProtection="1">
      <protection locked="0"/>
    </xf>
    <xf numFmtId="0" fontId="10" fillId="8" borderId="0" xfId="0" applyFont="1" applyFill="1" applyAlignment="1">
      <alignment wrapText="1"/>
    </xf>
    <xf numFmtId="3" fontId="10" fillId="20" borderId="0" xfId="0" applyNumberFormat="1" applyFont="1" applyFill="1"/>
    <xf numFmtId="164" fontId="10" fillId="8" borderId="0" xfId="0" applyNumberFormat="1" applyFont="1" applyFill="1" applyProtection="1">
      <protection locked="0"/>
    </xf>
    <xf numFmtId="0" fontId="10" fillId="8" borderId="0" xfId="0" applyFont="1" applyFill="1" applyAlignment="1">
      <alignment horizontal="left" indent="1"/>
    </xf>
    <xf numFmtId="0" fontId="10" fillId="8" borderId="0" xfId="0" quotePrefix="1" applyFont="1" applyFill="1" applyAlignment="1">
      <alignment horizontal="right"/>
    </xf>
    <xf numFmtId="0" fontId="16" fillId="8" borderId="0" xfId="3" applyFont="1" applyFill="1" applyAlignment="1">
      <alignment horizontal="right"/>
    </xf>
    <xf numFmtId="3" fontId="10" fillId="8" borderId="0" xfId="0" applyNumberFormat="1" applyFont="1" applyFill="1" applyProtection="1">
      <protection locked="0"/>
    </xf>
    <xf numFmtId="0" fontId="14" fillId="15" borderId="1" xfId="0" applyFont="1" applyFill="1" applyBorder="1" applyAlignment="1">
      <alignment vertical="center"/>
    </xf>
    <xf numFmtId="0" fontId="14" fillId="15" borderId="1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vertical="center"/>
    </xf>
    <xf numFmtId="0" fontId="11" fillId="0" borderId="12" xfId="0" applyFont="1" applyBorder="1" applyAlignment="1">
      <alignment wrapText="1"/>
    </xf>
    <xf numFmtId="3" fontId="10" fillId="0" borderId="12" xfId="0" applyNumberFormat="1" applyFont="1" applyBorder="1"/>
    <xf numFmtId="3" fontId="10" fillId="0" borderId="12" xfId="0" applyNumberFormat="1" applyFont="1" applyBorder="1" applyProtection="1">
      <protection locked="0"/>
    </xf>
    <xf numFmtId="168" fontId="10" fillId="0" borderId="0" xfId="1" applyNumberFormat="1" applyFont="1" applyAlignment="1">
      <alignment horizontal="right"/>
    </xf>
    <xf numFmtId="168" fontId="10" fillId="0" borderId="0" xfId="1" applyNumberFormat="1" applyFont="1"/>
    <xf numFmtId="168" fontId="11" fillId="0" borderId="0" xfId="1" applyNumberFormat="1" applyFont="1" applyAlignment="1">
      <alignment wrapText="1"/>
    </xf>
    <xf numFmtId="168" fontId="10" fillId="0" borderId="0" xfId="1" applyNumberFormat="1" applyFont="1" applyAlignment="1">
      <alignment wrapText="1"/>
    </xf>
    <xf numFmtId="0" fontId="10" fillId="0" borderId="0" xfId="0" applyFont="1" applyAlignment="1">
      <alignment vertical="center"/>
    </xf>
    <xf numFmtId="168" fontId="11" fillId="14" borderId="6" xfId="1" applyNumberFormat="1" applyFont="1" applyFill="1" applyBorder="1" applyAlignment="1">
      <alignment wrapText="1"/>
    </xf>
    <xf numFmtId="0" fontId="7" fillId="14" borderId="2" xfId="0" applyFont="1" applyFill="1" applyBorder="1" applyAlignment="1">
      <alignment horizontal="center" wrapText="1"/>
    </xf>
    <xf numFmtId="170" fontId="7" fillId="14" borderId="1" xfId="0" applyNumberFormat="1" applyFont="1" applyFill="1" applyBorder="1" applyAlignment="1">
      <alignment horizontal="center" wrapText="1"/>
    </xf>
    <xf numFmtId="168" fontId="10" fillId="14" borderId="1" xfId="1" applyNumberFormat="1" applyFont="1" applyFill="1" applyBorder="1" applyProtection="1">
      <protection locked="0"/>
    </xf>
    <xf numFmtId="164" fontId="10" fillId="8" borderId="6" xfId="0" applyNumberFormat="1" applyFont="1" applyFill="1" applyBorder="1" applyProtection="1">
      <protection locked="0"/>
    </xf>
    <xf numFmtId="3" fontId="9" fillId="0" borderId="6" xfId="2" applyNumberFormat="1" applyFont="1" applyFill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3" fontId="18" fillId="0" borderId="6" xfId="0" applyNumberFormat="1" applyFont="1" applyBorder="1" applyAlignment="1">
      <alignment horizontal="center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8" fontId="2" fillId="17" borderId="6" xfId="1" applyNumberFormat="1" applyFont="1" applyFill="1" applyBorder="1" applyAlignment="1">
      <alignment horizontal="center"/>
    </xf>
    <xf numFmtId="0" fontId="2" fillId="17" borderId="6" xfId="0" quotePrefix="1" applyFont="1" applyFill="1" applyBorder="1" applyAlignment="1">
      <alignment horizontal="center"/>
    </xf>
    <xf numFmtId="168" fontId="2" fillId="17" borderId="13" xfId="1" applyNumberFormat="1" applyFont="1" applyFill="1" applyBorder="1" applyAlignment="1">
      <alignment horizontal="center"/>
    </xf>
    <xf numFmtId="168" fontId="2" fillId="8" borderId="6" xfId="1" applyNumberFormat="1" applyFont="1" applyFill="1" applyBorder="1" applyAlignment="1">
      <alignment horizontal="center"/>
    </xf>
    <xf numFmtId="168" fontId="2" fillId="17" borderId="0" xfId="1" applyNumberFormat="1" applyFont="1" applyFill="1" applyBorder="1" applyAlignment="1">
      <alignment horizontal="center"/>
    </xf>
    <xf numFmtId="168" fontId="0" fillId="18" borderId="13" xfId="1" applyNumberFormat="1" applyFont="1" applyFill="1" applyBorder="1" applyAlignment="1">
      <alignment horizontal="right"/>
    </xf>
    <xf numFmtId="168" fontId="0" fillId="0" borderId="6" xfId="1" applyNumberFormat="1" applyFont="1" applyBorder="1"/>
    <xf numFmtId="168" fontId="0" fillId="0" borderId="9" xfId="1" applyNumberFormat="1" applyFont="1" applyBorder="1"/>
    <xf numFmtId="168" fontId="0" fillId="0" borderId="6" xfId="1" applyNumberFormat="1" applyFont="1" applyBorder="1" applyAlignment="1">
      <alignment horizontal="right"/>
    </xf>
    <xf numFmtId="168" fontId="0" fillId="8" borderId="6" xfId="1" applyNumberFormat="1" applyFont="1" applyFill="1" applyBorder="1" applyAlignment="1">
      <alignment horizontal="right"/>
    </xf>
    <xf numFmtId="168" fontId="0" fillId="8" borderId="6" xfId="1" applyNumberFormat="1" applyFont="1" applyFill="1" applyBorder="1" applyAlignment="1">
      <alignment horizontal="left"/>
    </xf>
    <xf numFmtId="168" fontId="0" fillId="18" borderId="6" xfId="1" applyNumberFormat="1" applyFont="1" applyFill="1" applyBorder="1" applyAlignment="1">
      <alignment horizontal="right"/>
    </xf>
    <xf numFmtId="168" fontId="0" fillId="18" borderId="6" xfId="1" applyNumberFormat="1" applyFont="1" applyFill="1" applyBorder="1" applyAlignment="1">
      <alignment horizontal="left"/>
    </xf>
    <xf numFmtId="168" fontId="0" fillId="8" borderId="6" xfId="1" applyNumberFormat="1" applyFont="1" applyFill="1" applyBorder="1"/>
    <xf numFmtId="168" fontId="0" fillId="18" borderId="6" xfId="1" applyNumberFormat="1" applyFont="1" applyFill="1" applyBorder="1"/>
    <xf numFmtId="168" fontId="2" fillId="0" borderId="6" xfId="1" applyNumberFormat="1" applyFont="1" applyBorder="1"/>
    <xf numFmtId="168" fontId="2" fillId="4" borderId="6" xfId="1" applyNumberFormat="1" applyFont="1" applyFill="1" applyBorder="1"/>
    <xf numFmtId="168" fontId="2" fillId="4" borderId="9" xfId="1" applyNumberFormat="1" applyFont="1" applyFill="1" applyBorder="1"/>
    <xf numFmtId="168" fontId="2" fillId="4" borderId="6" xfId="1" applyNumberFormat="1" applyFont="1" applyFill="1" applyBorder="1" applyAlignment="1">
      <alignment horizontal="right"/>
    </xf>
    <xf numFmtId="168" fontId="2" fillId="0" borderId="6" xfId="0" applyNumberFormat="1" applyFont="1" applyBorder="1"/>
    <xf numFmtId="168" fontId="2" fillId="4" borderId="6" xfId="0" applyNumberFormat="1" applyFont="1" applyFill="1" applyBorder="1"/>
    <xf numFmtId="168" fontId="0" fillId="17" borderId="6" xfId="1" applyNumberFormat="1" applyFont="1" applyFill="1" applyBorder="1"/>
    <xf numFmtId="168" fontId="0" fillId="17" borderId="6" xfId="1" applyNumberFormat="1" applyFont="1" applyFill="1" applyBorder="1" applyAlignment="1">
      <alignment horizontal="right"/>
    </xf>
    <xf numFmtId="170" fontId="7" fillId="8" borderId="6" xfId="0" applyNumberFormat="1" applyFont="1" applyFill="1" applyBorder="1" applyAlignment="1">
      <alignment horizontal="center" wrapText="1"/>
    </xf>
    <xf numFmtId="170" fontId="7" fillId="6" borderId="6" xfId="0" applyNumberFormat="1" applyFont="1" applyFill="1" applyBorder="1" applyAlignment="1">
      <alignment horizontal="center" wrapText="1"/>
    </xf>
    <xf numFmtId="170" fontId="7" fillId="7" borderId="6" xfId="0" applyNumberFormat="1" applyFont="1" applyFill="1" applyBorder="1" applyAlignment="1">
      <alignment horizontal="center" wrapText="1"/>
    </xf>
    <xf numFmtId="170" fontId="7" fillId="3" borderId="6" xfId="0" applyNumberFormat="1" applyFont="1" applyFill="1" applyBorder="1" applyAlignment="1">
      <alignment horizontal="center" wrapText="1"/>
    </xf>
    <xf numFmtId="0" fontId="11" fillId="0" borderId="10" xfId="0" applyFont="1" applyBorder="1" applyAlignment="1">
      <alignment wrapText="1"/>
    </xf>
    <xf numFmtId="3" fontId="10" fillId="0" borderId="10" xfId="0" applyNumberFormat="1" applyFont="1" applyBorder="1"/>
    <xf numFmtId="0" fontId="15" fillId="0" borderId="6" xfId="0" applyFont="1" applyBorder="1"/>
    <xf numFmtId="0" fontId="11" fillId="2" borderId="1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4" fillId="22" borderId="0" xfId="0" applyFont="1" applyFill="1"/>
    <xf numFmtId="0" fontId="10" fillId="4" borderId="0" xfId="0" applyFont="1" applyFill="1"/>
    <xf numFmtId="164" fontId="10" fillId="0" borderId="6" xfId="0" applyNumberFormat="1" applyFont="1" applyBorder="1" applyProtection="1">
      <protection locked="0"/>
    </xf>
    <xf numFmtId="0" fontId="10" fillId="0" borderId="5" xfId="0" applyFont="1" applyBorder="1"/>
    <xf numFmtId="0" fontId="0" fillId="0" borderId="9" xfId="0" applyBorder="1"/>
    <xf numFmtId="168" fontId="0" fillId="0" borderId="10" xfId="1" applyNumberFormat="1" applyFont="1" applyBorder="1"/>
    <xf numFmtId="168" fontId="0" fillId="0" borderId="7" xfId="1" applyNumberFormat="1" applyFont="1" applyBorder="1"/>
    <xf numFmtId="0" fontId="11" fillId="0" borderId="6" xfId="0" applyFont="1" applyBorder="1" applyAlignment="1">
      <alignment wrapText="1"/>
    </xf>
    <xf numFmtId="170" fontId="7" fillId="9" borderId="6" xfId="0" applyNumberFormat="1" applyFont="1" applyFill="1" applyBorder="1" applyAlignment="1">
      <alignment horizontal="center" wrapText="1"/>
    </xf>
    <xf numFmtId="0" fontId="11" fillId="2" borderId="7" xfId="0" applyFont="1" applyFill="1" applyBorder="1" applyAlignment="1">
      <alignment wrapText="1"/>
    </xf>
    <xf numFmtId="14" fontId="11" fillId="11" borderId="6" xfId="0" applyNumberFormat="1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2" fillId="17" borderId="0" xfId="0" applyFont="1" applyFill="1" applyAlignment="1">
      <alignment horizontal="center"/>
    </xf>
    <xf numFmtId="168" fontId="2" fillId="17" borderId="6" xfId="1" applyNumberFormat="1" applyFont="1" applyFill="1" applyBorder="1" applyAlignment="1">
      <alignment horizontal="center" wrapText="1"/>
    </xf>
    <xf numFmtId="164" fontId="10" fillId="0" borderId="0" xfId="0" applyNumberFormat="1" applyFont="1" applyAlignment="1">
      <alignment horizontal="center" vertical="center"/>
    </xf>
    <xf numFmtId="9" fontId="10" fillId="0" borderId="0" xfId="0" applyNumberFormat="1" applyFont="1"/>
    <xf numFmtId="169" fontId="11" fillId="0" borderId="0" xfId="0" quotePrefix="1" applyNumberFormat="1" applyFont="1" applyAlignment="1" applyProtection="1">
      <alignment horizontal="center" wrapText="1"/>
      <protection locked="0"/>
    </xf>
    <xf numFmtId="0" fontId="2" fillId="0" borderId="6" xfId="0" applyFont="1" applyBorder="1"/>
    <xf numFmtId="0" fontId="2" fillId="0" borderId="10" xfId="0" applyFont="1" applyBorder="1"/>
    <xf numFmtId="171" fontId="10" fillId="5" borderId="2" xfId="0" applyNumberFormat="1" applyFont="1" applyFill="1" applyBorder="1"/>
    <xf numFmtId="0" fontId="10" fillId="0" borderId="7" xfId="0" applyFont="1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8" fontId="2" fillId="8" borderId="6" xfId="1" applyNumberFormat="1" applyFont="1" applyFill="1" applyBorder="1"/>
    <xf numFmtId="168" fontId="0" fillId="8" borderId="0" xfId="1" applyNumberFormat="1" applyFont="1" applyFill="1"/>
    <xf numFmtId="168" fontId="1" fillId="8" borderId="6" xfId="1" applyNumberFormat="1" applyFont="1" applyFill="1" applyBorder="1"/>
    <xf numFmtId="168" fontId="0" fillId="0" borderId="2" xfId="1" applyNumberFormat="1" applyFont="1" applyFill="1" applyBorder="1"/>
    <xf numFmtId="3" fontId="26" fillId="0" borderId="0" xfId="0" applyNumberFormat="1" applyFont="1"/>
    <xf numFmtId="168" fontId="0" fillId="0" borderId="6" xfId="1" applyNumberFormat="1" applyFont="1" applyFill="1" applyBorder="1"/>
    <xf numFmtId="0" fontId="10" fillId="0" borderId="2" xfId="0" applyFont="1" applyBorder="1"/>
    <xf numFmtId="168" fontId="2" fillId="8" borderId="0" xfId="1" applyNumberFormat="1" applyFont="1" applyFill="1" applyAlignment="1">
      <alignment horizontal="center"/>
    </xf>
    <xf numFmtId="168" fontId="25" fillId="0" borderId="6" xfId="1" applyNumberFormat="1" applyFont="1" applyBorder="1" applyAlignment="1">
      <alignment horizontal="left" vertical="center" wrapText="1" indent="4"/>
    </xf>
    <xf numFmtId="168" fontId="27" fillId="0" borderId="6" xfId="1" applyNumberFormat="1" applyFont="1" applyBorder="1"/>
    <xf numFmtId="3" fontId="28" fillId="0" borderId="0" xfId="0" applyNumberFormat="1" applyFont="1"/>
    <xf numFmtId="168" fontId="1" fillId="0" borderId="6" xfId="1" applyNumberFormat="1" applyFont="1" applyBorder="1"/>
    <xf numFmtId="4" fontId="28" fillId="0" borderId="0" xfId="0" applyNumberFormat="1" applyFont="1"/>
    <xf numFmtId="166" fontId="0" fillId="0" borderId="6" xfId="0" applyNumberFormat="1" applyBorder="1"/>
    <xf numFmtId="0" fontId="29" fillId="0" borderId="0" xfId="0" applyFont="1"/>
    <xf numFmtId="3" fontId="30" fillId="0" borderId="0" xfId="0" applyNumberFormat="1" applyFont="1"/>
    <xf numFmtId="3" fontId="31" fillId="0" borderId="0" xfId="0" applyNumberFormat="1" applyFont="1" applyAlignment="1">
      <alignment horizontal="left" vertical="center" wrapText="1" indent="4"/>
    </xf>
    <xf numFmtId="0" fontId="32" fillId="0" borderId="6" xfId="0" applyFont="1" applyBorder="1"/>
    <xf numFmtId="3" fontId="34" fillId="0" borderId="0" xfId="0" applyNumberFormat="1" applyFont="1"/>
    <xf numFmtId="0" fontId="36" fillId="0" borderId="6" xfId="0" applyFont="1" applyBorder="1"/>
    <xf numFmtId="168" fontId="32" fillId="0" borderId="6" xfId="1" applyNumberFormat="1" applyFont="1" applyBorder="1"/>
    <xf numFmtId="168" fontId="36" fillId="0" borderId="6" xfId="0" applyNumberFormat="1" applyFont="1" applyBorder="1"/>
    <xf numFmtId="3" fontId="33" fillId="0" borderId="6" xfId="0" applyNumberFormat="1" applyFont="1" applyBorder="1"/>
    <xf numFmtId="3" fontId="35" fillId="0" borderId="6" xfId="0" applyNumberFormat="1" applyFont="1" applyBorder="1"/>
    <xf numFmtId="0" fontId="33" fillId="0" borderId="0" xfId="0" applyFont="1" applyAlignment="1">
      <alignment horizontal="right"/>
    </xf>
    <xf numFmtId="3" fontId="38" fillId="0" borderId="6" xfId="0" applyNumberFormat="1" applyFont="1" applyBorder="1" applyAlignment="1">
      <alignment horizontal="left" vertical="center" wrapText="1" indent="4"/>
    </xf>
    <xf numFmtId="3" fontId="37" fillId="0" borderId="6" xfId="0" applyNumberFormat="1" applyFont="1" applyBorder="1" applyAlignment="1">
      <alignment horizontal="left" vertical="center" wrapText="1" indent="4"/>
    </xf>
    <xf numFmtId="0" fontId="37" fillId="0" borderId="6" xfId="0" applyFont="1" applyBorder="1" applyAlignment="1">
      <alignment horizontal="left" vertical="center" wrapText="1" indent="4"/>
    </xf>
    <xf numFmtId="3" fontId="39" fillId="0" borderId="6" xfId="0" applyNumberFormat="1" applyFont="1" applyBorder="1"/>
    <xf numFmtId="0" fontId="41" fillId="0" borderId="6" xfId="0" applyFont="1" applyBorder="1"/>
    <xf numFmtId="168" fontId="41" fillId="0" borderId="6" xfId="1" applyNumberFormat="1" applyFont="1" applyBorder="1"/>
    <xf numFmtId="3" fontId="44" fillId="0" borderId="6" xfId="0" applyNumberFormat="1" applyFont="1" applyBorder="1"/>
    <xf numFmtId="3" fontId="42" fillId="0" borderId="6" xfId="0" applyNumberFormat="1" applyFont="1" applyBorder="1"/>
    <xf numFmtId="3" fontId="30" fillId="0" borderId="6" xfId="0" applyNumberFormat="1" applyFont="1" applyBorder="1"/>
    <xf numFmtId="3" fontId="40" fillId="0" borderId="6" xfId="0" applyNumberFormat="1" applyFont="1" applyBorder="1"/>
    <xf numFmtId="3" fontId="43" fillId="0" borderId="6" xfId="0" applyNumberFormat="1" applyFont="1" applyBorder="1"/>
    <xf numFmtId="168" fontId="45" fillId="0" borderId="6" xfId="1" applyNumberFormat="1" applyFont="1" applyBorder="1"/>
    <xf numFmtId="168" fontId="46" fillId="0" borderId="6" xfId="1" applyNumberFormat="1" applyFont="1" applyBorder="1"/>
    <xf numFmtId="168" fontId="47" fillId="0" borderId="6" xfId="1" applyNumberFormat="1" applyFont="1" applyBorder="1"/>
    <xf numFmtId="168" fontId="30" fillId="0" borderId="6" xfId="1" applyNumberFormat="1" applyFont="1" applyBorder="1"/>
    <xf numFmtId="168" fontId="29" fillId="0" borderId="6" xfId="1" applyNumberFormat="1" applyFont="1" applyBorder="1"/>
    <xf numFmtId="0" fontId="4" fillId="0" borderId="12" xfId="0" applyFont="1" applyBorder="1"/>
    <xf numFmtId="0" fontId="5" fillId="3" borderId="10" xfId="0" applyFont="1" applyFill="1" applyBorder="1"/>
    <xf numFmtId="0" fontId="0" fillId="4" borderId="6" xfId="0" applyFill="1" applyBorder="1"/>
    <xf numFmtId="0" fontId="1" fillId="8" borderId="6" xfId="3" applyFill="1" applyBorder="1" applyAlignment="1">
      <alignment horizontal="left"/>
    </xf>
    <xf numFmtId="0" fontId="1" fillId="8" borderId="6" xfId="3" applyFill="1" applyBorder="1" applyAlignment="1">
      <alignment horizontal="left" wrapText="1"/>
    </xf>
    <xf numFmtId="164" fontId="10" fillId="23" borderId="1" xfId="0" applyNumberFormat="1" applyFont="1" applyFill="1" applyBorder="1" applyProtection="1">
      <protection locked="0"/>
    </xf>
    <xf numFmtId="0" fontId="22" fillId="0" borderId="0" xfId="0" applyFont="1" applyAlignment="1">
      <alignment horizontal="right"/>
    </xf>
    <xf numFmtId="0" fontId="22" fillId="0" borderId="0" xfId="0" applyFont="1"/>
    <xf numFmtId="170" fontId="7" fillId="6" borderId="5" xfId="0" applyNumberFormat="1" applyFont="1" applyFill="1" applyBorder="1" applyAlignment="1">
      <alignment horizontal="center" wrapText="1"/>
    </xf>
    <xf numFmtId="170" fontId="7" fillId="6" borderId="1" xfId="0" applyNumberFormat="1" applyFont="1" applyFill="1" applyBorder="1" applyAlignment="1">
      <alignment horizontal="center" wrapText="1"/>
    </xf>
    <xf numFmtId="3" fontId="10" fillId="5" borderId="6" xfId="0" applyNumberFormat="1" applyFont="1" applyFill="1" applyBorder="1"/>
    <xf numFmtId="168" fontId="0" fillId="4" borderId="6" xfId="1" applyNumberFormat="1" applyFont="1" applyFill="1" applyBorder="1"/>
    <xf numFmtId="168" fontId="10" fillId="12" borderId="1" xfId="0" applyNumberFormat="1" applyFont="1" applyFill="1" applyBorder="1"/>
    <xf numFmtId="166" fontId="9" fillId="0" borderId="6" xfId="1" applyFont="1" applyFill="1" applyBorder="1" applyAlignment="1">
      <alignment horizontal="center"/>
    </xf>
    <xf numFmtId="166" fontId="4" fillId="0" borderId="0" xfId="1" applyFont="1"/>
    <xf numFmtId="0" fontId="48" fillId="8" borderId="6" xfId="0" applyFont="1" applyFill="1" applyBorder="1" applyAlignment="1">
      <alignment horizontal="center"/>
    </xf>
    <xf numFmtId="168" fontId="48" fillId="8" borderId="6" xfId="1" applyNumberFormat="1" applyFont="1" applyFill="1" applyBorder="1" applyAlignment="1">
      <alignment horizontal="center"/>
    </xf>
    <xf numFmtId="0" fontId="49" fillId="8" borderId="0" xfId="0" applyFont="1" applyFill="1" applyAlignment="1">
      <alignment horizontal="center"/>
    </xf>
    <xf numFmtId="0" fontId="0" fillId="10" borderId="6" xfId="0" applyFill="1" applyBorder="1"/>
    <xf numFmtId="168" fontId="0" fillId="10" borderId="6" xfId="1" applyNumberFormat="1" applyFont="1" applyFill="1" applyBorder="1"/>
    <xf numFmtId="0" fontId="0" fillId="10" borderId="0" xfId="0" applyFill="1"/>
    <xf numFmtId="0" fontId="0" fillId="26" borderId="6" xfId="0" applyFill="1" applyBorder="1"/>
    <xf numFmtId="168" fontId="0" fillId="26" borderId="6" xfId="1" applyNumberFormat="1" applyFont="1" applyFill="1" applyBorder="1"/>
    <xf numFmtId="0" fontId="0" fillId="26" borderId="0" xfId="0" applyFill="1"/>
    <xf numFmtId="0" fontId="0" fillId="27" borderId="6" xfId="0" applyFill="1" applyBorder="1"/>
    <xf numFmtId="168" fontId="0" fillId="27" borderId="6" xfId="1" applyNumberFormat="1" applyFont="1" applyFill="1" applyBorder="1"/>
    <xf numFmtId="0" fontId="0" fillId="27" borderId="0" xfId="0" applyFill="1"/>
    <xf numFmtId="0" fontId="0" fillId="18" borderId="6" xfId="0" applyFill="1" applyBorder="1" applyAlignment="1">
      <alignment horizontal="left"/>
    </xf>
    <xf numFmtId="0" fontId="2" fillId="18" borderId="6" xfId="0" applyFont="1" applyFill="1" applyBorder="1" applyAlignment="1">
      <alignment horizontal="center"/>
    </xf>
    <xf numFmtId="0" fontId="0" fillId="18" borderId="6" xfId="0" applyFill="1" applyBorder="1"/>
    <xf numFmtId="0" fontId="0" fillId="18" borderId="0" xfId="0" applyFill="1"/>
    <xf numFmtId="41" fontId="0" fillId="18" borderId="0" xfId="6" applyFont="1" applyFill="1"/>
    <xf numFmtId="0" fontId="0" fillId="25" borderId="0" xfId="0" applyFill="1"/>
    <xf numFmtId="41" fontId="0" fillId="25" borderId="0" xfId="6" applyFont="1" applyFill="1"/>
    <xf numFmtId="0" fontId="0" fillId="4" borderId="0" xfId="0" applyFill="1"/>
    <xf numFmtId="41" fontId="0" fillId="4" borderId="0" xfId="6" applyFont="1" applyFill="1"/>
    <xf numFmtId="0" fontId="0" fillId="28" borderId="6" xfId="0" applyFill="1" applyBorder="1"/>
    <xf numFmtId="168" fontId="0" fillId="28" borderId="6" xfId="1" applyNumberFormat="1" applyFont="1" applyFill="1" applyBorder="1"/>
    <xf numFmtId="0" fontId="0" fillId="28" borderId="0" xfId="0" applyFill="1"/>
    <xf numFmtId="41" fontId="0" fillId="28" borderId="0" xfId="6" applyFont="1" applyFill="1"/>
    <xf numFmtId="172" fontId="0" fillId="8" borderId="6" xfId="14" applyNumberFormat="1" applyFont="1" applyFill="1" applyBorder="1" applyAlignment="1">
      <alignment horizontal="center"/>
    </xf>
    <xf numFmtId="164" fontId="10" fillId="0" borderId="3" xfId="0" applyNumberFormat="1" applyFont="1" applyBorder="1" applyProtection="1">
      <protection locked="0"/>
    </xf>
    <xf numFmtId="0" fontId="32" fillId="0" borderId="0" xfId="0" applyFont="1"/>
    <xf numFmtId="164" fontId="22" fillId="0" borderId="1" xfId="0" applyNumberFormat="1" applyFont="1" applyBorder="1" applyProtection="1">
      <protection locked="0"/>
    </xf>
    <xf numFmtId="164" fontId="22" fillId="8" borderId="1" xfId="0" applyNumberFormat="1" applyFont="1" applyFill="1" applyBorder="1" applyProtection="1">
      <protection locked="0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8" fillId="8" borderId="6" xfId="0" applyFont="1" applyFill="1" applyBorder="1" applyAlignment="1">
      <alignment horizontal="left"/>
    </xf>
    <xf numFmtId="168" fontId="39" fillId="0" borderId="0" xfId="1" applyNumberFormat="1" applyFont="1" applyAlignment="1">
      <alignment horizontal="right"/>
    </xf>
    <xf numFmtId="168" fontId="53" fillId="0" borderId="0" xfId="1" applyNumberFormat="1" applyFont="1" applyAlignment="1">
      <alignment horizontal="right"/>
    </xf>
    <xf numFmtId="168" fontId="49" fillId="0" borderId="0" xfId="1" applyNumberFormat="1" applyFont="1" applyAlignment="1">
      <alignment horizontal="right"/>
    </xf>
    <xf numFmtId="168" fontId="56" fillId="0" borderId="0" xfId="1" applyNumberFormat="1" applyFont="1"/>
    <xf numFmtId="168" fontId="54" fillId="0" borderId="0" xfId="1" applyNumberFormat="1" applyFont="1" applyAlignment="1">
      <alignment horizontal="right"/>
    </xf>
    <xf numFmtId="0" fontId="57" fillId="0" borderId="13" xfId="0" applyFont="1" applyBorder="1" applyAlignment="1">
      <alignment vertical="center" wrapText="1"/>
    </xf>
    <xf numFmtId="0" fontId="57" fillId="0" borderId="6" xfId="0" applyFont="1" applyBorder="1" applyAlignment="1">
      <alignment vertical="center" wrapText="1"/>
    </xf>
    <xf numFmtId="17" fontId="57" fillId="0" borderId="13" xfId="3" quotePrefix="1" applyNumberFormat="1" applyFont="1" applyBorder="1" applyAlignment="1">
      <alignment horizontal="right" vertical="center"/>
    </xf>
    <xf numFmtId="17" fontId="57" fillId="0" borderId="6" xfId="3" quotePrefix="1" applyNumberFormat="1" applyFont="1" applyBorder="1" applyAlignment="1">
      <alignment horizontal="right" vertical="center"/>
    </xf>
    <xf numFmtId="0" fontId="15" fillId="0" borderId="2" xfId="0" applyFont="1" applyBorder="1"/>
    <xf numFmtId="0" fontId="11" fillId="2" borderId="2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58" fillId="4" borderId="6" xfId="3" applyFont="1" applyFill="1" applyBorder="1" applyAlignment="1">
      <alignment horizontal="center" vertical="center" wrapText="1"/>
    </xf>
    <xf numFmtId="41" fontId="57" fillId="0" borderId="13" xfId="15" applyFont="1" applyBorder="1" applyAlignment="1" applyProtection="1">
      <alignment vertical="center"/>
      <protection locked="0"/>
    </xf>
    <xf numFmtId="41" fontId="57" fillId="0" borderId="6" xfId="15" applyFont="1" applyBorder="1" applyAlignment="1" applyProtection="1">
      <alignment vertical="center"/>
      <protection locked="0"/>
    </xf>
    <xf numFmtId="41" fontId="57" fillId="0" borderId="13" xfId="0" applyNumberFormat="1" applyFont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0" fillId="4" borderId="0" xfId="0" applyFont="1" applyFill="1" applyAlignment="1">
      <alignment horizontal="left" vertical="center"/>
    </xf>
    <xf numFmtId="164" fontId="10" fillId="4" borderId="1" xfId="0" applyNumberFormat="1" applyFont="1" applyFill="1" applyBorder="1" applyProtection="1">
      <protection locked="0"/>
    </xf>
    <xf numFmtId="173" fontId="10" fillId="0" borderId="0" xfId="0" applyNumberFormat="1" applyFont="1" applyAlignment="1">
      <alignment vertical="center"/>
    </xf>
    <xf numFmtId="173" fontId="24" fillId="0" borderId="0" xfId="0" applyNumberFormat="1" applyFont="1" applyAlignment="1">
      <alignment horizontal="center" vertical="center"/>
    </xf>
    <xf numFmtId="0" fontId="50" fillId="0" borderId="0" xfId="0" applyFont="1" applyAlignment="1">
      <alignment wrapText="1"/>
    </xf>
    <xf numFmtId="0" fontId="6" fillId="3" borderId="1" xfId="0" applyFont="1" applyFill="1" applyBorder="1" applyAlignment="1">
      <alignment horizontal="center" wrapText="1"/>
    </xf>
    <xf numFmtId="170" fontId="6" fillId="8" borderId="6" xfId="0" applyNumberFormat="1" applyFont="1" applyFill="1" applyBorder="1" applyAlignment="1">
      <alignment horizontal="center" wrapText="1"/>
    </xf>
    <xf numFmtId="3" fontId="10" fillId="0" borderId="0" xfId="1" applyNumberFormat="1" applyFont="1" applyAlignment="1">
      <alignment horizontal="left" vertical="center"/>
    </xf>
    <xf numFmtId="3" fontId="24" fillId="0" borderId="0" xfId="1" applyNumberFormat="1" applyFont="1" applyAlignment="1">
      <alignment horizontal="center" vertical="center"/>
    </xf>
    <xf numFmtId="3" fontId="11" fillId="0" borderId="0" xfId="1" applyNumberFormat="1" applyFont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8" borderId="0" xfId="0" applyFont="1" applyFill="1"/>
    <xf numFmtId="168" fontId="49" fillId="8" borderId="9" xfId="1" quotePrefix="1" applyNumberFormat="1" applyFont="1" applyFill="1" applyBorder="1" applyAlignment="1">
      <alignment horizontal="right"/>
    </xf>
    <xf numFmtId="168" fontId="49" fillId="10" borderId="9" xfId="1" applyNumberFormat="1" applyFont="1" applyFill="1" applyBorder="1" applyAlignment="1">
      <alignment horizontal="right"/>
    </xf>
    <xf numFmtId="168" fontId="49" fillId="26" borderId="9" xfId="1" applyNumberFormat="1" applyFont="1" applyFill="1" applyBorder="1" applyAlignment="1">
      <alignment horizontal="right"/>
    </xf>
    <xf numFmtId="168" fontId="49" fillId="27" borderId="9" xfId="1" applyNumberFormat="1" applyFont="1" applyFill="1" applyBorder="1" applyAlignment="1">
      <alignment horizontal="right"/>
    </xf>
    <xf numFmtId="168" fontId="49" fillId="18" borderId="9" xfId="1" applyNumberFormat="1" applyFont="1" applyFill="1" applyBorder="1" applyAlignment="1">
      <alignment horizontal="right"/>
    </xf>
    <xf numFmtId="168" fontId="44" fillId="0" borderId="9" xfId="1" applyNumberFormat="1" applyFont="1" applyBorder="1" applyAlignment="1">
      <alignment horizontal="right"/>
    </xf>
    <xf numFmtId="168" fontId="49" fillId="25" borderId="9" xfId="1" applyNumberFormat="1" applyFont="1" applyFill="1" applyBorder="1" applyAlignment="1">
      <alignment horizontal="right"/>
    </xf>
    <xf numFmtId="168" fontId="39" fillId="0" borderId="9" xfId="1" applyNumberFormat="1" applyFont="1" applyBorder="1" applyAlignment="1">
      <alignment horizontal="right"/>
    </xf>
    <xf numFmtId="168" fontId="54" fillId="0" borderId="9" xfId="1" applyNumberFormat="1" applyFont="1" applyBorder="1" applyAlignment="1">
      <alignment horizontal="right"/>
    </xf>
    <xf numFmtId="168" fontId="55" fillId="0" borderId="9" xfId="1" applyNumberFormat="1" applyFont="1" applyBorder="1" applyAlignment="1">
      <alignment horizontal="right"/>
    </xf>
    <xf numFmtId="168" fontId="49" fillId="8" borderId="0" xfId="1" applyNumberFormat="1" applyFont="1" applyFill="1" applyAlignment="1">
      <alignment horizontal="center"/>
    </xf>
    <xf numFmtId="168" fontId="44" fillId="0" borderId="0" xfId="1" applyNumberFormat="1" applyFont="1"/>
    <xf numFmtId="168" fontId="0" fillId="10" borderId="9" xfId="1" applyNumberFormat="1" applyFont="1" applyFill="1" applyBorder="1"/>
    <xf numFmtId="168" fontId="0" fillId="26" borderId="9" xfId="1" applyNumberFormat="1" applyFont="1" applyFill="1" applyBorder="1"/>
    <xf numFmtId="168" fontId="0" fillId="27" borderId="9" xfId="1" applyNumberFormat="1" applyFont="1" applyFill="1" applyBorder="1"/>
    <xf numFmtId="168" fontId="0" fillId="25" borderId="9" xfId="1" applyNumberFormat="1" applyFont="1" applyFill="1" applyBorder="1"/>
    <xf numFmtId="168" fontId="0" fillId="28" borderId="9" xfId="1" applyNumberFormat="1" applyFont="1" applyFill="1" applyBorder="1"/>
    <xf numFmtId="168" fontId="49" fillId="8" borderId="6" xfId="1" applyNumberFormat="1" applyFont="1" applyFill="1" applyBorder="1" applyAlignment="1"/>
    <xf numFmtId="168" fontId="59" fillId="0" borderId="0" xfId="1" applyNumberFormat="1" applyFont="1" applyAlignment="1"/>
    <xf numFmtId="168" fontId="0" fillId="10" borderId="6" xfId="1" applyNumberFormat="1" applyFont="1" applyFill="1" applyBorder="1" applyAlignment="1"/>
    <xf numFmtId="168" fontId="0" fillId="26" borderId="6" xfId="1" applyNumberFormat="1" applyFont="1" applyFill="1" applyBorder="1" applyAlignment="1"/>
    <xf numFmtId="168" fontId="39" fillId="0" borderId="0" xfId="1" applyNumberFormat="1" applyFont="1" applyAlignment="1"/>
    <xf numFmtId="168" fontId="0" fillId="27" borderId="6" xfId="1" applyNumberFormat="1" applyFont="1" applyFill="1" applyBorder="1" applyAlignment="1"/>
    <xf numFmtId="168" fontId="61" fillId="0" borderId="0" xfId="1" applyNumberFormat="1" applyFont="1" applyAlignment="1"/>
    <xf numFmtId="168" fontId="60" fillId="0" borderId="0" xfId="1" applyNumberFormat="1" applyFont="1" applyAlignment="1"/>
    <xf numFmtId="168" fontId="0" fillId="25" borderId="6" xfId="1" applyNumberFormat="1" applyFont="1" applyFill="1" applyBorder="1" applyAlignment="1"/>
    <xf numFmtId="0" fontId="61" fillId="0" borderId="0" xfId="0" applyFont="1"/>
    <xf numFmtId="168" fontId="0" fillId="28" borderId="6" xfId="1" applyNumberFormat="1" applyFont="1" applyFill="1" applyBorder="1" applyAlignment="1"/>
    <xf numFmtId="168" fontId="0" fillId="0" borderId="0" xfId="1" applyNumberFormat="1" applyFont="1" applyAlignment="1"/>
    <xf numFmtId="168" fontId="62" fillId="0" borderId="0" xfId="1" applyNumberFormat="1" applyFont="1" applyAlignment="1"/>
    <xf numFmtId="168" fontId="0" fillId="10" borderId="0" xfId="1" applyNumberFormat="1" applyFont="1" applyFill="1"/>
    <xf numFmtId="168" fontId="0" fillId="26" borderId="0" xfId="1" applyNumberFormat="1" applyFont="1" applyFill="1"/>
    <xf numFmtId="168" fontId="0" fillId="27" borderId="0" xfId="1" applyNumberFormat="1" applyFont="1" applyFill="1"/>
    <xf numFmtId="168" fontId="0" fillId="18" borderId="0" xfId="1" applyNumberFormat="1" applyFont="1" applyFill="1"/>
    <xf numFmtId="168" fontId="0" fillId="4" borderId="0" xfId="1" applyNumberFormat="1" applyFont="1" applyFill="1"/>
    <xf numFmtId="168" fontId="0" fillId="28" borderId="0" xfId="1" applyNumberFormat="1" applyFont="1" applyFill="1"/>
    <xf numFmtId="0" fontId="22" fillId="8" borderId="6" xfId="0" applyFont="1" applyFill="1" applyBorder="1" applyAlignment="1">
      <alignment wrapText="1"/>
    </xf>
    <xf numFmtId="3" fontId="10" fillId="2" borderId="14" xfId="0" applyNumberFormat="1" applyFont="1" applyFill="1" applyBorder="1" applyProtection="1">
      <protection locked="0"/>
    </xf>
    <xf numFmtId="170" fontId="7" fillId="6" borderId="13" xfId="0" applyNumberFormat="1" applyFont="1" applyFill="1" applyBorder="1" applyAlignment="1">
      <alignment horizontal="center" wrapText="1"/>
    </xf>
    <xf numFmtId="164" fontId="10" fillId="12" borderId="6" xfId="0" applyNumberFormat="1" applyFont="1" applyFill="1" applyBorder="1"/>
    <xf numFmtId="164" fontId="11" fillId="4" borderId="6" xfId="0" applyNumberFormat="1" applyFont="1" applyFill="1" applyBorder="1" applyProtection="1">
      <protection locked="0"/>
    </xf>
    <xf numFmtId="0" fontId="11" fillId="0" borderId="6" xfId="0" applyFont="1" applyBorder="1" applyAlignment="1">
      <alignment horizontal="center"/>
    </xf>
    <xf numFmtId="0" fontId="11" fillId="7" borderId="0" xfId="0" applyFont="1" applyFill="1" applyAlignment="1">
      <alignment horizontal="center"/>
    </xf>
    <xf numFmtId="170" fontId="6" fillId="8" borderId="13" xfId="0" applyNumberFormat="1" applyFont="1" applyFill="1" applyBorder="1" applyAlignment="1">
      <alignment horizontal="center" wrapText="1"/>
    </xf>
    <xf numFmtId="170" fontId="7" fillId="7" borderId="13" xfId="0" applyNumberFormat="1" applyFont="1" applyFill="1" applyBorder="1" applyAlignment="1">
      <alignment horizontal="center" wrapText="1"/>
    </xf>
    <xf numFmtId="0" fontId="11" fillId="6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3" fontId="11" fillId="0" borderId="0" xfId="0" applyNumberFormat="1" applyFont="1"/>
    <xf numFmtId="0" fontId="7" fillId="3" borderId="6" xfId="0" applyFont="1" applyFill="1" applyBorder="1" applyAlignment="1">
      <alignment horizontal="center" wrapText="1"/>
    </xf>
    <xf numFmtId="3" fontId="10" fillId="2" borderId="6" xfId="0" applyNumberFormat="1" applyFont="1" applyFill="1" applyBorder="1" applyProtection="1">
      <protection locked="0"/>
    </xf>
    <xf numFmtId="0" fontId="11" fillId="0" borderId="6" xfId="0" applyFont="1" applyBorder="1" applyAlignment="1">
      <alignment horizontal="center" wrapText="1"/>
    </xf>
    <xf numFmtId="164" fontId="10" fillId="16" borderId="14" xfId="0" applyNumberFormat="1" applyFont="1" applyFill="1" applyBorder="1" applyProtection="1">
      <protection locked="0"/>
    </xf>
    <xf numFmtId="0" fontId="11" fillId="0" borderId="6" xfId="0" applyFont="1" applyBorder="1" applyAlignment="1">
      <alignment horizontal="center" vertical="center" wrapText="1"/>
    </xf>
    <xf numFmtId="3" fontId="13" fillId="3" borderId="4" xfId="0" applyNumberFormat="1" applyFont="1" applyFill="1" applyBorder="1" applyAlignment="1">
      <alignment vertical="center"/>
    </xf>
    <xf numFmtId="164" fontId="13" fillId="3" borderId="5" xfId="0" applyNumberFormat="1" applyFont="1" applyFill="1" applyBorder="1" applyAlignment="1">
      <alignment vertical="center"/>
    </xf>
    <xf numFmtId="164" fontId="13" fillId="3" borderId="6" xfId="0" applyNumberFormat="1" applyFont="1" applyFill="1" applyBorder="1" applyAlignment="1">
      <alignment vertical="center"/>
    </xf>
    <xf numFmtId="0" fontId="1" fillId="8" borderId="1" xfId="3" applyFill="1" applyBorder="1" applyAlignment="1">
      <alignment horizontal="left"/>
    </xf>
    <xf numFmtId="0" fontId="1" fillId="8" borderId="1" xfId="3" applyFill="1" applyBorder="1" applyAlignment="1">
      <alignment horizontal="left" wrapText="1"/>
    </xf>
    <xf numFmtId="3" fontId="10" fillId="5" borderId="6" xfId="0" applyNumberFormat="1" applyFont="1" applyFill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168" fontId="11" fillId="0" borderId="6" xfId="1" applyNumberFormat="1" applyFont="1" applyBorder="1" applyAlignment="1">
      <alignment horizontal="center" wrapText="1"/>
    </xf>
    <xf numFmtId="168" fontId="11" fillId="14" borderId="6" xfId="1" applyNumberFormat="1" applyFont="1" applyFill="1" applyBorder="1"/>
    <xf numFmtId="0" fontId="10" fillId="8" borderId="6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center"/>
    </xf>
    <xf numFmtId="0" fontId="51" fillId="8" borderId="6" xfId="0" quotePrefix="1" applyFont="1" applyFill="1" applyBorder="1" applyAlignment="1">
      <alignment horizontal="center" wrapText="1"/>
    </xf>
    <xf numFmtId="0" fontId="6" fillId="8" borderId="6" xfId="0" applyFont="1" applyFill="1" applyBorder="1"/>
    <xf numFmtId="166" fontId="4" fillId="0" borderId="6" xfId="1" applyFont="1" applyBorder="1"/>
    <xf numFmtId="0" fontId="4" fillId="0" borderId="1" xfId="0" applyFont="1" applyBorder="1"/>
    <xf numFmtId="3" fontId="6" fillId="16" borderId="1" xfId="0" applyNumberFormat="1" applyFont="1" applyFill="1" applyBorder="1" applyProtection="1">
      <protection locked="0"/>
    </xf>
    <xf numFmtId="3" fontId="6" fillId="16" borderId="6" xfId="0" applyNumberFormat="1" applyFont="1" applyFill="1" applyBorder="1" applyProtection="1">
      <protection locked="0"/>
    </xf>
    <xf numFmtId="3" fontId="4" fillId="16" borderId="6" xfId="0" applyNumberFormat="1" applyFont="1" applyFill="1" applyBorder="1" applyAlignment="1">
      <alignment horizontal="center"/>
    </xf>
    <xf numFmtId="3" fontId="4" fillId="16" borderId="2" xfId="0" applyNumberFormat="1" applyFont="1" applyFill="1" applyBorder="1"/>
    <xf numFmtId="166" fontId="10" fillId="2" borderId="2" xfId="1" applyFont="1" applyFill="1" applyBorder="1" applyProtection="1">
      <protection locked="0"/>
    </xf>
    <xf numFmtId="0" fontId="10" fillId="0" borderId="1" xfId="0" applyFont="1" applyBorder="1"/>
    <xf numFmtId="0" fontId="7" fillId="8" borderId="6" xfId="0" applyFont="1" applyFill="1" applyBorder="1" applyAlignment="1">
      <alignment wrapText="1"/>
    </xf>
    <xf numFmtId="3" fontId="4" fillId="8" borderId="6" xfId="0" applyNumberFormat="1" applyFont="1" applyFill="1" applyBorder="1" applyAlignment="1">
      <alignment horizontal="center"/>
    </xf>
    <xf numFmtId="0" fontId="4" fillId="8" borderId="0" xfId="0" applyFont="1" applyFill="1"/>
    <xf numFmtId="0" fontId="63" fillId="29" borderId="6" xfId="0" applyFont="1" applyFill="1" applyBorder="1" applyAlignment="1">
      <alignment horizontal="center"/>
    </xf>
    <xf numFmtId="0" fontId="63" fillId="30" borderId="6" xfId="0" applyFont="1" applyFill="1" applyBorder="1" applyAlignment="1">
      <alignment horizontal="center"/>
    </xf>
    <xf numFmtId="0" fontId="63" fillId="4" borderId="6" xfId="0" applyFont="1" applyFill="1" applyBorder="1" applyAlignment="1">
      <alignment horizontal="center"/>
    </xf>
    <xf numFmtId="168" fontId="65" fillId="0" borderId="0" xfId="1" applyNumberFormat="1" applyFont="1"/>
    <xf numFmtId="168" fontId="65" fillId="0" borderId="6" xfId="1" applyNumberFormat="1" applyFont="1" applyBorder="1"/>
    <xf numFmtId="168" fontId="64" fillId="0" borderId="6" xfId="1" applyNumberFormat="1" applyFont="1" applyBorder="1"/>
    <xf numFmtId="0" fontId="63" fillId="30" borderId="6" xfId="0" applyFont="1" applyFill="1" applyBorder="1" applyAlignment="1">
      <alignment horizontal="right" wrapText="1"/>
    </xf>
    <xf numFmtId="0" fontId="63" fillId="30" borderId="6" xfId="0" applyFont="1" applyFill="1" applyBorder="1" applyAlignment="1">
      <alignment horizontal="center" wrapText="1"/>
    </xf>
    <xf numFmtId="168" fontId="65" fillId="0" borderId="6" xfId="1" applyNumberFormat="1" applyFont="1" applyBorder="1" applyAlignment="1"/>
    <xf numFmtId="0" fontId="2" fillId="0" borderId="6" xfId="0" applyFont="1" applyBorder="1" applyAlignment="1">
      <alignment horizontal="center"/>
    </xf>
    <xf numFmtId="168" fontId="4" fillId="0" borderId="6" xfId="1" applyNumberFormat="1" applyFont="1" applyBorder="1" applyAlignment="1">
      <alignment vertical="center" wrapText="1"/>
    </xf>
    <xf numFmtId="168" fontId="66" fillId="0" borderId="6" xfId="1" applyNumberFormat="1" applyFont="1" applyBorder="1"/>
    <xf numFmtId="168" fontId="67" fillId="0" borderId="6" xfId="1" applyNumberFormat="1" applyFont="1" applyBorder="1"/>
    <xf numFmtId="168" fontId="1" fillId="8" borderId="6" xfId="1" applyNumberFormat="1" applyFill="1" applyBorder="1" applyAlignment="1">
      <alignment horizontal="left"/>
    </xf>
    <xf numFmtId="168" fontId="1" fillId="8" borderId="6" xfId="1" applyNumberFormat="1" applyFill="1" applyBorder="1" applyAlignment="1">
      <alignment horizontal="left" wrapText="1"/>
    </xf>
    <xf numFmtId="168" fontId="1" fillId="8" borderId="2" xfId="1" applyNumberFormat="1" applyFill="1" applyBorder="1" applyAlignment="1">
      <alignment horizontal="left" wrapText="1"/>
    </xf>
    <xf numFmtId="168" fontId="10" fillId="5" borderId="2" xfId="1" applyNumberFormat="1" applyFont="1" applyFill="1" applyBorder="1"/>
    <xf numFmtId="168" fontId="0" fillId="8" borderId="6" xfId="1" applyNumberFormat="1" applyFont="1" applyFill="1" applyBorder="1" applyAlignment="1">
      <alignment horizontal="center"/>
    </xf>
    <xf numFmtId="168" fontId="10" fillId="8" borderId="1" xfId="1" applyNumberFormat="1" applyFont="1" applyFill="1" applyBorder="1" applyProtection="1">
      <protection locked="0"/>
    </xf>
    <xf numFmtId="168" fontId="10" fillId="12" borderId="1" xfId="1" applyNumberFormat="1" applyFont="1" applyFill="1" applyBorder="1"/>
    <xf numFmtId="168" fontId="10" fillId="0" borderId="6" xfId="1" applyNumberFormat="1" applyFont="1" applyBorder="1"/>
    <xf numFmtId="168" fontId="10" fillId="8" borderId="3" xfId="1" applyNumberFormat="1" applyFont="1" applyFill="1" applyBorder="1" applyProtection="1">
      <protection locked="0"/>
    </xf>
    <xf numFmtId="168" fontId="10" fillId="8" borderId="6" xfId="1" applyNumberFormat="1" applyFont="1" applyFill="1" applyBorder="1" applyProtection="1">
      <protection locked="0"/>
    </xf>
    <xf numFmtId="168" fontId="10" fillId="23" borderId="2" xfId="1" applyNumberFormat="1" applyFont="1" applyFill="1" applyBorder="1"/>
    <xf numFmtId="168" fontId="10" fillId="24" borderId="2" xfId="1" applyNumberFormat="1" applyFont="1" applyFill="1" applyBorder="1"/>
    <xf numFmtId="168" fontId="10" fillId="23" borderId="1" xfId="1" applyNumberFormat="1" applyFont="1" applyFill="1" applyBorder="1" applyProtection="1">
      <protection locked="0"/>
    </xf>
    <xf numFmtId="168" fontId="10" fillId="0" borderId="0" xfId="1" applyNumberFormat="1" applyFont="1" applyAlignment="1">
      <alignment vertical="center"/>
    </xf>
    <xf numFmtId="168" fontId="7" fillId="6" borderId="1" xfId="1" applyNumberFormat="1" applyFont="1" applyFill="1" applyBorder="1" applyAlignment="1">
      <alignment horizontal="center" wrapText="1"/>
    </xf>
    <xf numFmtId="174" fontId="10" fillId="0" borderId="6" xfId="1" applyNumberFormat="1" applyFont="1" applyBorder="1"/>
    <xf numFmtId="164" fontId="10" fillId="8" borderId="1" xfId="0" applyNumberFormat="1" applyFont="1" applyFill="1" applyBorder="1" applyAlignment="1" applyProtection="1">
      <alignment horizontal="center" wrapText="1"/>
      <protection locked="0"/>
    </xf>
    <xf numFmtId="164" fontId="10" fillId="8" borderId="1" xfId="0" applyNumberFormat="1" applyFont="1" applyFill="1" applyBorder="1" applyAlignment="1" applyProtection="1">
      <alignment horizontal="center" vertical="center"/>
      <protection locked="0"/>
    </xf>
    <xf numFmtId="164" fontId="10" fillId="8" borderId="1" xfId="0" applyNumberFormat="1" applyFont="1" applyFill="1" applyBorder="1" applyAlignment="1" applyProtection="1">
      <alignment horizontal="center" vertical="center" wrapText="1"/>
      <protection locked="0"/>
    </xf>
    <xf numFmtId="3" fontId="10" fillId="8" borderId="0" xfId="0" applyNumberFormat="1" applyFont="1" applyFill="1"/>
    <xf numFmtId="0" fontId="11" fillId="8" borderId="6" xfId="0" applyFont="1" applyFill="1" applyBorder="1" applyAlignment="1">
      <alignment wrapText="1"/>
    </xf>
    <xf numFmtId="164" fontId="11" fillId="8" borderId="3" xfId="0" applyNumberFormat="1" applyFont="1" applyFill="1" applyBorder="1" applyAlignment="1">
      <alignment wrapText="1"/>
    </xf>
    <xf numFmtId="3" fontId="10" fillId="8" borderId="6" xfId="0" applyNumberFormat="1" applyFont="1" applyFill="1" applyBorder="1"/>
    <xf numFmtId="3" fontId="11" fillId="8" borderId="6" xfId="0" applyNumberFormat="1" applyFont="1" applyFill="1" applyBorder="1"/>
    <xf numFmtId="168" fontId="10" fillId="0" borderId="6" xfId="0" applyNumberFormat="1" applyFont="1" applyBorder="1"/>
    <xf numFmtId="0" fontId="4" fillId="4" borderId="6" xfId="0" applyFont="1" applyFill="1" applyBorder="1"/>
    <xf numFmtId="0" fontId="2" fillId="4" borderId="0" xfId="0" applyFont="1" applyFill="1"/>
    <xf numFmtId="0" fontId="63" fillId="31" borderId="6" xfId="0" applyFont="1" applyFill="1" applyBorder="1" applyAlignment="1">
      <alignment horizontal="center"/>
    </xf>
    <xf numFmtId="166" fontId="65" fillId="0" borderId="6" xfId="1" applyFont="1" applyBorder="1"/>
    <xf numFmtId="0" fontId="68" fillId="0" borderId="0" xfId="0" applyFont="1"/>
    <xf numFmtId="168" fontId="69" fillId="0" borderId="0" xfId="1" applyNumberFormat="1" applyFont="1"/>
    <xf numFmtId="41" fontId="0" fillId="8" borderId="6" xfId="15" applyFont="1" applyFill="1" applyBorder="1" applyAlignment="1">
      <alignment vertical="center"/>
    </xf>
    <xf numFmtId="41" fontId="0" fillId="8" borderId="15" xfId="15" applyFont="1" applyFill="1" applyBorder="1" applyAlignment="1">
      <alignment vertical="center"/>
    </xf>
    <xf numFmtId="174" fontId="6" fillId="8" borderId="0" xfId="0" applyNumberFormat="1" applyFont="1" applyFill="1" applyAlignment="1">
      <alignment horizontal="center" wrapText="1"/>
    </xf>
    <xf numFmtId="0" fontId="7" fillId="16" borderId="6" xfId="0" applyFont="1" applyFill="1" applyBorder="1" applyAlignment="1">
      <alignment wrapText="1"/>
    </xf>
    <xf numFmtId="168" fontId="4" fillId="0" borderId="6" xfId="1" applyNumberFormat="1" applyFont="1" applyFill="1" applyBorder="1" applyProtection="1">
      <protection locked="0"/>
    </xf>
    <xf numFmtId="0" fontId="6" fillId="16" borderId="6" xfId="0" applyFont="1" applyFill="1" applyBorder="1" applyAlignment="1">
      <alignment wrapText="1"/>
    </xf>
    <xf numFmtId="0" fontId="6" fillId="0" borderId="12" xfId="0" applyFont="1" applyBorder="1" applyAlignment="1">
      <alignment wrapText="1"/>
    </xf>
    <xf numFmtId="0" fontId="7" fillId="3" borderId="9" xfId="0" applyFont="1" applyFill="1" applyBorder="1"/>
    <xf numFmtId="3" fontId="4" fillId="0" borderId="6" xfId="0" applyNumberFormat="1" applyFont="1" applyBorder="1" applyProtection="1">
      <protection locked="0"/>
    </xf>
    <xf numFmtId="3" fontId="4" fillId="0" borderId="6" xfId="0" applyNumberFormat="1" applyFont="1" applyBorder="1"/>
    <xf numFmtId="0" fontId="16" fillId="0" borderId="6" xfId="0" applyFont="1" applyBorder="1"/>
    <xf numFmtId="0" fontId="11" fillId="0" borderId="13" xfId="0" applyFont="1" applyBorder="1" applyAlignment="1">
      <alignment wrapText="1"/>
    </xf>
    <xf numFmtId="14" fontId="11" fillId="0" borderId="13" xfId="0" applyNumberFormat="1" applyFont="1" applyBorder="1" applyAlignment="1">
      <alignment wrapText="1"/>
    </xf>
    <xf numFmtId="0" fontId="14" fillId="3" borderId="6" xfId="0" applyFont="1" applyFill="1" applyBorder="1" applyAlignment="1">
      <alignment wrapText="1"/>
    </xf>
    <xf numFmtId="9" fontId="16" fillId="0" borderId="6" xfId="0" applyNumberFormat="1" applyFont="1" applyBorder="1"/>
    <xf numFmtId="0" fontId="16" fillId="0" borderId="6" xfId="3" applyFont="1" applyBorder="1" applyAlignment="1">
      <alignment horizontal="center" wrapText="1"/>
    </xf>
    <xf numFmtId="0" fontId="10" fillId="0" borderId="6" xfId="0" applyFont="1" applyBorder="1" applyAlignment="1">
      <alignment horizontal="left" indent="1"/>
    </xf>
    <xf numFmtId="168" fontId="10" fillId="0" borderId="6" xfId="1" applyNumberFormat="1" applyFont="1" applyBorder="1" applyAlignment="1">
      <alignment horizontal="left" indent="1"/>
    </xf>
    <xf numFmtId="168" fontId="10" fillId="0" borderId="6" xfId="1" quotePrefix="1" applyNumberFormat="1" applyFont="1" applyBorder="1" applyAlignment="1">
      <alignment horizontal="right"/>
    </xf>
    <xf numFmtId="168" fontId="10" fillId="0" borderId="6" xfId="1" applyNumberFormat="1" applyFont="1" applyBorder="1" applyAlignment="1">
      <alignment wrapText="1"/>
    </xf>
    <xf numFmtId="168" fontId="10" fillId="0" borderId="6" xfId="1" applyNumberFormat="1" applyFont="1" applyBorder="1" applyAlignment="1">
      <alignment horizontal="center" vertical="center"/>
    </xf>
    <xf numFmtId="168" fontId="10" fillId="0" borderId="7" xfId="1" applyNumberFormat="1" applyFont="1" applyBorder="1"/>
    <xf numFmtId="0" fontId="10" fillId="0" borderId="7" xfId="0" applyFont="1" applyBorder="1"/>
    <xf numFmtId="0" fontId="10" fillId="2" borderId="6" xfId="0" applyFont="1" applyFill="1" applyBorder="1"/>
    <xf numFmtId="0" fontId="10" fillId="2" borderId="6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wrapText="1"/>
    </xf>
    <xf numFmtId="168" fontId="37" fillId="0" borderId="0" xfId="1" applyNumberFormat="1" applyFont="1" applyAlignment="1">
      <alignment vertical="center" wrapText="1"/>
    </xf>
    <xf numFmtId="168" fontId="37" fillId="0" borderId="6" xfId="1" applyNumberFormat="1" applyFont="1" applyBorder="1" applyAlignment="1">
      <alignment vertical="center" wrapText="1"/>
    </xf>
    <xf numFmtId="14" fontId="10" fillId="5" borderId="2" xfId="0" applyNumberFormat="1" applyFont="1" applyFill="1" applyBorder="1"/>
    <xf numFmtId="0" fontId="22" fillId="8" borderId="6" xfId="0" applyFont="1" applyFill="1" applyBorder="1" applyAlignment="1">
      <alignment horizontal="left" vertical="center"/>
    </xf>
    <xf numFmtId="168" fontId="11" fillId="0" borderId="6" xfId="1" applyNumberFormat="1" applyFont="1" applyBorder="1" applyAlignment="1">
      <alignment horizontal="center" vertical="center" wrapText="1"/>
    </xf>
    <xf numFmtId="168" fontId="1" fillId="8" borderId="1" xfId="1" applyNumberFormat="1" applyFill="1" applyBorder="1" applyAlignment="1">
      <alignment horizontal="left" wrapText="1"/>
    </xf>
    <xf numFmtId="168" fontId="1" fillId="8" borderId="1" xfId="1" applyNumberFormat="1" applyFill="1" applyBorder="1" applyAlignment="1">
      <alignment horizontal="center" vertical="center" wrapText="1"/>
    </xf>
    <xf numFmtId="168" fontId="1" fillId="8" borderId="6" xfId="1" applyNumberFormat="1" applyFill="1" applyBorder="1" applyAlignment="1">
      <alignment horizontal="center" vertical="center" wrapText="1"/>
    </xf>
    <xf numFmtId="0" fontId="10" fillId="0" borderId="13" xfId="0" applyFont="1" applyBorder="1"/>
    <xf numFmtId="3" fontId="10" fillId="0" borderId="6" xfId="0" applyNumberFormat="1" applyFont="1" applyBorder="1"/>
    <xf numFmtId="0" fontId="51" fillId="8" borderId="7" xfId="0" quotePrefix="1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5" fillId="0" borderId="7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/>
    <xf numFmtId="3" fontId="10" fillId="13" borderId="6" xfId="0" applyNumberFormat="1" applyFont="1" applyFill="1" applyBorder="1"/>
    <xf numFmtId="164" fontId="11" fillId="4" borderId="13" xfId="0" applyNumberFormat="1" applyFont="1" applyFill="1" applyBorder="1" applyAlignment="1">
      <alignment horizontal="center" vertical="center" wrapText="1"/>
    </xf>
    <xf numFmtId="164" fontId="11" fillId="4" borderId="6" xfId="0" applyNumberFormat="1" applyFont="1" applyFill="1" applyBorder="1" applyAlignment="1">
      <alignment horizontal="center" wrapText="1"/>
    </xf>
    <xf numFmtId="174" fontId="10" fillId="0" borderId="6" xfId="0" applyNumberFormat="1" applyFont="1" applyBorder="1" applyAlignment="1">
      <alignment wrapText="1"/>
    </xf>
    <xf numFmtId="168" fontId="10" fillId="0" borderId="1" xfId="1" applyNumberFormat="1" applyFont="1" applyBorder="1" applyProtection="1">
      <protection locked="0"/>
    </xf>
    <xf numFmtId="3" fontId="11" fillId="5" borderId="2" xfId="0" applyNumberFormat="1" applyFont="1" applyFill="1" applyBorder="1"/>
    <xf numFmtId="168" fontId="11" fillId="4" borderId="1" xfId="1" applyNumberFormat="1" applyFont="1" applyFill="1" applyBorder="1" applyProtection="1">
      <protection locked="0"/>
    </xf>
    <xf numFmtId="0" fontId="4" fillId="8" borderId="6" xfId="0" applyFont="1" applyFill="1" applyBorder="1"/>
    <xf numFmtId="166" fontId="4" fillId="0" borderId="6" xfId="1" applyFont="1" applyFill="1" applyBorder="1" applyProtection="1">
      <protection locked="0"/>
    </xf>
    <xf numFmtId="168" fontId="6" fillId="16" borderId="6" xfId="1" applyNumberFormat="1" applyFont="1" applyFill="1" applyBorder="1" applyProtection="1">
      <protection locked="0"/>
    </xf>
    <xf numFmtId="3" fontId="5" fillId="16" borderId="6" xfId="0" applyNumberFormat="1" applyFont="1" applyFill="1" applyBorder="1"/>
    <xf numFmtId="3" fontId="4" fillId="0" borderId="1" xfId="0" applyNumberFormat="1" applyFont="1" applyBorder="1" applyAlignment="1">
      <alignment horizontal="center"/>
    </xf>
    <xf numFmtId="169" fontId="11" fillId="0" borderId="6" xfId="0" applyNumberFormat="1" applyFont="1" applyBorder="1" applyAlignment="1" applyProtection="1">
      <alignment horizontal="center" wrapText="1"/>
      <protection locked="0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6" fillId="22" borderId="6" xfId="0" applyFont="1" applyFill="1" applyBorder="1" applyAlignment="1">
      <alignment wrapText="1"/>
    </xf>
    <xf numFmtId="168" fontId="4" fillId="22" borderId="6" xfId="1" applyNumberFormat="1" applyFont="1" applyFill="1" applyBorder="1" applyProtection="1">
      <protection locked="0"/>
    </xf>
    <xf numFmtId="0" fontId="4" fillId="22" borderId="6" xfId="0" applyFont="1" applyFill="1" applyBorder="1"/>
    <xf numFmtId="3" fontId="5" fillId="3" borderId="6" xfId="0" applyNumberFormat="1" applyFont="1" applyFill="1" applyBorder="1"/>
    <xf numFmtId="3" fontId="6" fillId="16" borderId="6" xfId="0" applyNumberFormat="1" applyFont="1" applyFill="1" applyBorder="1"/>
    <xf numFmtId="0" fontId="7" fillId="3" borderId="6" xfId="0" applyFont="1" applyFill="1" applyBorder="1" applyAlignment="1">
      <alignment wrapText="1"/>
    </xf>
    <xf numFmtId="168" fontId="6" fillId="8" borderId="6" xfId="1" applyNumberFormat="1" applyFont="1" applyFill="1" applyBorder="1" applyProtection="1">
      <protection locked="0"/>
    </xf>
    <xf numFmtId="170" fontId="6" fillId="8" borderId="0" xfId="0" applyNumberFormat="1" applyFont="1" applyFill="1" applyAlignment="1">
      <alignment horizontal="center" wrapText="1"/>
    </xf>
    <xf numFmtId="170" fontId="6" fillId="8" borderId="1" xfId="0" applyNumberFormat="1" applyFont="1" applyFill="1" applyBorder="1" applyAlignment="1">
      <alignment horizontal="center" wrapText="1"/>
    </xf>
    <xf numFmtId="41" fontId="0" fillId="8" borderId="16" xfId="15" applyFont="1" applyFill="1" applyBorder="1" applyAlignment="1">
      <alignment vertical="center"/>
    </xf>
    <xf numFmtId="0" fontId="1" fillId="8" borderId="15" xfId="0" applyFont="1" applyFill="1" applyBorder="1" applyAlignment="1">
      <alignment horizontal="left" vertical="center" wrapText="1"/>
    </xf>
    <xf numFmtId="0" fontId="11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 vertical="center"/>
    </xf>
    <xf numFmtId="3" fontId="10" fillId="8" borderId="0" xfId="1" applyNumberFormat="1" applyFont="1" applyFill="1" applyAlignment="1">
      <alignment horizontal="left" vertical="center"/>
    </xf>
    <xf numFmtId="173" fontId="10" fillId="8" borderId="0" xfId="0" applyNumberFormat="1" applyFont="1" applyFill="1" applyAlignment="1">
      <alignment vertical="center"/>
    </xf>
    <xf numFmtId="0" fontId="4" fillId="16" borderId="6" xfId="0" applyFont="1" applyFill="1" applyBorder="1"/>
    <xf numFmtId="0" fontId="4" fillId="16" borderId="1" xfId="0" applyFont="1" applyFill="1" applyBorder="1"/>
    <xf numFmtId="166" fontId="4" fillId="8" borderId="6" xfId="0" applyNumberFormat="1" applyFont="1" applyFill="1" applyBorder="1"/>
    <xf numFmtId="170" fontId="6" fillId="7" borderId="6" xfId="0" applyNumberFormat="1" applyFont="1" applyFill="1" applyBorder="1" applyAlignment="1">
      <alignment horizontal="center" wrapText="1"/>
    </xf>
    <xf numFmtId="170" fontId="6" fillId="33" borderId="6" xfId="0" applyNumberFormat="1" applyFont="1" applyFill="1" applyBorder="1" applyAlignment="1">
      <alignment horizontal="center" wrapText="1"/>
    </xf>
    <xf numFmtId="3" fontId="10" fillId="8" borderId="1" xfId="0" applyNumberFormat="1" applyFont="1" applyFill="1" applyBorder="1" applyProtection="1">
      <protection locked="0"/>
    </xf>
    <xf numFmtId="174" fontId="10" fillId="0" borderId="6" xfId="95" applyNumberFormat="1" applyFont="1" applyBorder="1"/>
    <xf numFmtId="3" fontId="6" fillId="22" borderId="6" xfId="0" applyNumberFormat="1" applyFont="1" applyFill="1" applyBorder="1"/>
    <xf numFmtId="0" fontId="86" fillId="8" borderId="16" xfId="0" applyFont="1" applyFill="1" applyBorder="1" applyAlignment="1">
      <alignment horizontal="left" vertical="center" wrapText="1"/>
    </xf>
    <xf numFmtId="168" fontId="10" fillId="0" borderId="13" xfId="1" applyNumberFormat="1" applyFont="1" applyBorder="1"/>
    <xf numFmtId="0" fontId="11" fillId="8" borderId="6" xfId="0" applyFont="1" applyFill="1" applyBorder="1" applyAlignment="1">
      <alignment horizontal="center"/>
    </xf>
    <xf numFmtId="174" fontId="11" fillId="8" borderId="0" xfId="0" applyNumberFormat="1" applyFont="1" applyFill="1" applyAlignment="1">
      <alignment horizontal="center"/>
    </xf>
    <xf numFmtId="0" fontId="6" fillId="8" borderId="1" xfId="0" applyFont="1" applyFill="1" applyBorder="1" applyAlignment="1">
      <alignment horizontal="center" wrapText="1"/>
    </xf>
    <xf numFmtId="170" fontId="7" fillId="8" borderId="1" xfId="0" applyNumberFormat="1" applyFont="1" applyFill="1" applyBorder="1" applyAlignment="1">
      <alignment horizontal="center" wrapText="1"/>
    </xf>
    <xf numFmtId="170" fontId="7" fillId="8" borderId="0" xfId="0" applyNumberFormat="1" applyFont="1" applyFill="1" applyAlignment="1">
      <alignment horizontal="center" wrapText="1"/>
    </xf>
    <xf numFmtId="0" fontId="22" fillId="8" borderId="6" xfId="0" applyFont="1" applyFill="1" applyBorder="1" applyAlignment="1">
      <alignment horizontal="left" vertical="center" wrapText="1"/>
    </xf>
    <xf numFmtId="0" fontId="1" fillId="8" borderId="15" xfId="0" applyFont="1" applyFill="1" applyBorder="1" applyAlignment="1">
      <alignment vertical="center" wrapText="1"/>
    </xf>
    <xf numFmtId="168" fontId="4" fillId="8" borderId="6" xfId="1" applyNumberFormat="1" applyFont="1" applyFill="1" applyBorder="1" applyProtection="1">
      <protection locked="0"/>
    </xf>
    <xf numFmtId="168" fontId="4" fillId="0" borderId="6" xfId="1" applyNumberFormat="1" applyFont="1" applyBorder="1" applyProtection="1">
      <protection locked="0"/>
    </xf>
    <xf numFmtId="168" fontId="6" fillId="0" borderId="6" xfId="1" applyNumberFormat="1" applyFont="1" applyFill="1" applyBorder="1" applyProtection="1">
      <protection locked="0"/>
    </xf>
    <xf numFmtId="166" fontId="6" fillId="8" borderId="6" xfId="0" applyNumberFormat="1" applyFont="1" applyFill="1" applyBorder="1"/>
    <xf numFmtId="4" fontId="5" fillId="16" borderId="6" xfId="0" applyNumberFormat="1" applyFont="1" applyFill="1" applyBorder="1"/>
    <xf numFmtId="169" fontId="11" fillId="0" borderId="0" xfId="0" applyNumberFormat="1" applyFont="1" applyAlignment="1" applyProtection="1">
      <alignment horizontal="center" wrapText="1"/>
      <protection locked="0"/>
    </xf>
    <xf numFmtId="170" fontId="7" fillId="8" borderId="13" xfId="0" applyNumberFormat="1" applyFont="1" applyFill="1" applyBorder="1" applyAlignment="1">
      <alignment horizontal="center" wrapText="1"/>
    </xf>
    <xf numFmtId="0" fontId="0" fillId="8" borderId="1" xfId="3" applyFont="1" applyFill="1" applyBorder="1" applyAlignment="1">
      <alignment horizontal="left"/>
    </xf>
    <xf numFmtId="0" fontId="0" fillId="8" borderId="1" xfId="3" applyFont="1" applyFill="1" applyBorder="1" applyAlignment="1">
      <alignment horizontal="left" wrapText="1"/>
    </xf>
    <xf numFmtId="0" fontId="0" fillId="8" borderId="6" xfId="3" applyFont="1" applyFill="1" applyBorder="1" applyAlignment="1">
      <alignment horizontal="left" wrapText="1"/>
    </xf>
    <xf numFmtId="164" fontId="10" fillId="8" borderId="7" xfId="0" applyNumberFormat="1" applyFont="1" applyFill="1" applyBorder="1"/>
    <xf numFmtId="168" fontId="11" fillId="8" borderId="0" xfId="1" applyNumberFormat="1" applyFont="1" applyFill="1" applyAlignment="1">
      <alignment wrapText="1"/>
    </xf>
    <xf numFmtId="168" fontId="11" fillId="8" borderId="0" xfId="1" applyNumberFormat="1" applyFont="1" applyFill="1" applyBorder="1" applyAlignment="1">
      <alignment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right"/>
    </xf>
    <xf numFmtId="0" fontId="36" fillId="0" borderId="0" xfId="0" applyFont="1"/>
    <xf numFmtId="170" fontId="88" fillId="3" borderId="6" xfId="0" applyNumberFormat="1" applyFont="1" applyFill="1" applyBorder="1" applyAlignment="1">
      <alignment horizontal="center" wrapText="1"/>
    </xf>
    <xf numFmtId="0" fontId="36" fillId="0" borderId="0" xfId="0" applyFont="1" applyAlignment="1">
      <alignment horizontal="left" indent="1"/>
    </xf>
    <xf numFmtId="0" fontId="36" fillId="0" borderId="0" xfId="0" applyFont="1" applyAlignment="1">
      <alignment horizontal="left"/>
    </xf>
    <xf numFmtId="170" fontId="88" fillId="6" borderId="6" xfId="0" applyNumberFormat="1" applyFont="1" applyFill="1" applyBorder="1" applyAlignment="1">
      <alignment horizontal="center" wrapText="1"/>
    </xf>
    <xf numFmtId="170" fontId="88" fillId="9" borderId="6" xfId="0" applyNumberFormat="1" applyFont="1" applyFill="1" applyBorder="1" applyAlignment="1">
      <alignment horizontal="center" wrapText="1"/>
    </xf>
    <xf numFmtId="0" fontId="36" fillId="0" borderId="0" xfId="0" applyFont="1" applyAlignment="1">
      <alignment horizontal="right"/>
    </xf>
    <xf numFmtId="170" fontId="88" fillId="8" borderId="6" xfId="0" applyNumberFormat="1" applyFont="1" applyFill="1" applyBorder="1" applyAlignment="1">
      <alignment horizontal="center" wrapText="1"/>
    </xf>
    <xf numFmtId="170" fontId="88" fillId="7" borderId="6" xfId="0" applyNumberFormat="1" applyFont="1" applyFill="1" applyBorder="1" applyAlignment="1">
      <alignment horizontal="center" wrapText="1"/>
    </xf>
    <xf numFmtId="169" fontId="36" fillId="0" borderId="0" xfId="0" quotePrefix="1" applyNumberFormat="1" applyFont="1" applyAlignment="1" applyProtection="1">
      <alignment horizontal="center" wrapText="1"/>
      <protection locked="0"/>
    </xf>
    <xf numFmtId="3" fontId="89" fillId="0" borderId="0" xfId="0" applyNumberFormat="1" applyFont="1"/>
    <xf numFmtId="0" fontId="32" fillId="0" borderId="0" xfId="0" applyFont="1" applyAlignment="1">
      <alignment horizontal="center" vertical="center"/>
    </xf>
    <xf numFmtId="0" fontId="36" fillId="8" borderId="0" xfId="0" applyFont="1" applyFill="1" applyAlignment="1">
      <alignment horizontal="center"/>
    </xf>
    <xf numFmtId="0" fontId="36" fillId="7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6" borderId="0" xfId="0" applyFont="1" applyFill="1" applyAlignment="1">
      <alignment horizontal="center"/>
    </xf>
    <xf numFmtId="0" fontId="36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wrapText="1"/>
    </xf>
    <xf numFmtId="0" fontId="88" fillId="3" borderId="1" xfId="0" applyFont="1" applyFill="1" applyBorder="1" applyAlignment="1">
      <alignment horizontal="center" wrapText="1"/>
    </xf>
    <xf numFmtId="170" fontId="36" fillId="8" borderId="6" xfId="0" applyNumberFormat="1" applyFont="1" applyFill="1" applyBorder="1" applyAlignment="1">
      <alignment horizontal="center" wrapText="1"/>
    </xf>
    <xf numFmtId="0" fontId="36" fillId="0" borderId="6" xfId="0" applyFont="1" applyBorder="1" applyAlignment="1">
      <alignment horizontal="center"/>
    </xf>
    <xf numFmtId="0" fontId="49" fillId="8" borderId="1" xfId="3" applyFont="1" applyFill="1" applyBorder="1" applyAlignment="1">
      <alignment horizontal="left"/>
    </xf>
    <xf numFmtId="0" fontId="49" fillId="8" borderId="1" xfId="3" applyFont="1" applyFill="1" applyBorder="1" applyAlignment="1">
      <alignment horizontal="left" wrapText="1"/>
    </xf>
    <xf numFmtId="3" fontId="32" fillId="5" borderId="2" xfId="0" applyNumberFormat="1" applyFont="1" applyFill="1" applyBorder="1"/>
    <xf numFmtId="172" fontId="49" fillId="8" borderId="6" xfId="14" applyNumberFormat="1" applyFont="1" applyFill="1" applyBorder="1" applyAlignment="1">
      <alignment horizontal="center"/>
    </xf>
    <xf numFmtId="164" fontId="32" fillId="8" borderId="1" xfId="0" applyNumberFormat="1" applyFont="1" applyFill="1" applyBorder="1" applyProtection="1">
      <protection locked="0"/>
    </xf>
    <xf numFmtId="0" fontId="32" fillId="0" borderId="6" xfId="0" applyFont="1" applyBorder="1" applyAlignment="1">
      <alignment wrapText="1"/>
    </xf>
    <xf numFmtId="164" fontId="32" fillId="0" borderId="1" xfId="0" applyNumberFormat="1" applyFont="1" applyBorder="1" applyProtection="1">
      <protection locked="0"/>
    </xf>
    <xf numFmtId="0" fontId="32" fillId="8" borderId="6" xfId="0" applyFont="1" applyFill="1" applyBorder="1" applyAlignment="1">
      <alignment horizontal="left" vertical="center"/>
    </xf>
    <xf numFmtId="0" fontId="32" fillId="8" borderId="0" xfId="0" applyFont="1" applyFill="1"/>
    <xf numFmtId="0" fontId="32" fillId="8" borderId="6" xfId="0" applyFont="1" applyFill="1" applyBorder="1" applyAlignment="1">
      <alignment horizontal="center" vertical="center"/>
    </xf>
    <xf numFmtId="164" fontId="32" fillId="0" borderId="6" xfId="0" applyNumberFormat="1" applyFont="1" applyBorder="1" applyProtection="1">
      <protection locked="0"/>
    </xf>
    <xf numFmtId="0" fontId="32" fillId="0" borderId="6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3" xfId="0" applyFont="1" applyBorder="1"/>
    <xf numFmtId="164" fontId="32" fillId="0" borderId="2" xfId="0" applyNumberFormat="1" applyFont="1" applyBorder="1" applyProtection="1">
      <protection locked="0"/>
    </xf>
    <xf numFmtId="164" fontId="32" fillId="8" borderId="2" xfId="0" applyNumberFormat="1" applyFont="1" applyFill="1" applyBorder="1" applyProtection="1">
      <protection locked="0"/>
    </xf>
    <xf numFmtId="0" fontId="36" fillId="2" borderId="6" xfId="0" applyFont="1" applyFill="1" applyBorder="1" applyAlignment="1">
      <alignment wrapText="1"/>
    </xf>
    <xf numFmtId="3" fontId="32" fillId="13" borderId="6" xfId="0" applyNumberFormat="1" applyFont="1" applyFill="1" applyBorder="1"/>
    <xf numFmtId="3" fontId="32" fillId="2" borderId="6" xfId="0" applyNumberFormat="1" applyFont="1" applyFill="1" applyBorder="1" applyProtection="1">
      <protection locked="0"/>
    </xf>
    <xf numFmtId="0" fontId="32" fillId="0" borderId="0" xfId="0" applyFont="1" applyAlignment="1">
      <alignment wrapText="1"/>
    </xf>
    <xf numFmtId="164" fontId="14" fillId="8" borderId="5" xfId="0" applyNumberFormat="1" applyFont="1" applyFill="1" applyBorder="1" applyAlignment="1">
      <alignment horizontal="center"/>
    </xf>
    <xf numFmtId="3" fontId="10" fillId="8" borderId="6" xfId="0" applyNumberFormat="1" applyFont="1" applyFill="1" applyBorder="1" applyProtection="1">
      <protection locked="0"/>
    </xf>
    <xf numFmtId="0" fontId="11" fillId="8" borderId="0" xfId="0" applyFont="1" applyFill="1" applyAlignment="1">
      <alignment horizontal="left" indent="1"/>
    </xf>
    <xf numFmtId="164" fontId="12" fillId="8" borderId="0" xfId="0" applyNumberFormat="1" applyFont="1" applyFill="1" applyAlignment="1">
      <alignment wrapText="1"/>
    </xf>
    <xf numFmtId="164" fontId="10" fillId="8" borderId="0" xfId="0" applyNumberFormat="1" applyFont="1" applyFill="1"/>
    <xf numFmtId="3" fontId="13" fillId="8" borderId="0" xfId="0" applyNumberFormat="1" applyFont="1" applyFill="1"/>
    <xf numFmtId="164" fontId="11" fillId="8" borderId="0" xfId="0" applyNumberFormat="1" applyFont="1" applyFill="1" applyAlignment="1">
      <alignment horizontal="center"/>
    </xf>
    <xf numFmtId="164" fontId="14" fillId="8" borderId="0" xfId="0" applyNumberFormat="1" applyFont="1" applyFill="1" applyAlignment="1">
      <alignment horizontal="center"/>
    </xf>
    <xf numFmtId="164" fontId="11" fillId="8" borderId="0" xfId="0" applyNumberFormat="1" applyFont="1" applyFill="1"/>
    <xf numFmtId="164" fontId="11" fillId="8" borderId="0" xfId="0" applyNumberFormat="1" applyFont="1" applyFill="1" applyProtection="1">
      <protection locked="0"/>
    </xf>
    <xf numFmtId="0" fontId="6" fillId="0" borderId="9" xfId="0" applyFont="1" applyBorder="1" applyAlignment="1">
      <alignment horizontal="center"/>
    </xf>
    <xf numFmtId="170" fontId="7" fillId="6" borderId="3" xfId="0" applyNumberFormat="1" applyFont="1" applyFill="1" applyBorder="1" applyAlignment="1">
      <alignment horizontal="center" wrapText="1"/>
    </xf>
    <xf numFmtId="170" fontId="7" fillId="3" borderId="13" xfId="0" applyNumberFormat="1" applyFont="1" applyFill="1" applyBorder="1" applyAlignment="1">
      <alignment horizontal="center" wrapText="1"/>
    </xf>
    <xf numFmtId="174" fontId="7" fillId="8" borderId="0" xfId="0" applyNumberFormat="1" applyFont="1" applyFill="1" applyAlignment="1">
      <alignment horizontal="center" wrapText="1"/>
    </xf>
    <xf numFmtId="174" fontId="17" fillId="8" borderId="0" xfId="0" applyNumberFormat="1" applyFont="1" applyFill="1" applyAlignment="1">
      <alignment horizontal="center"/>
    </xf>
    <xf numFmtId="174" fontId="10" fillId="8" borderId="0" xfId="0" applyNumberFormat="1" applyFont="1" applyFill="1"/>
    <xf numFmtId="170" fontId="7" fillId="8" borderId="3" xfId="0" applyNumberFormat="1" applyFont="1" applyFill="1" applyBorder="1" applyAlignment="1">
      <alignment horizontal="center" wrapText="1"/>
    </xf>
    <xf numFmtId="0" fontId="50" fillId="8" borderId="0" xfId="0" applyFont="1" applyFill="1" applyAlignment="1">
      <alignment wrapText="1"/>
    </xf>
    <xf numFmtId="164" fontId="50" fillId="8" borderId="0" xfId="0" applyNumberFormat="1" applyFont="1" applyFill="1" applyAlignment="1">
      <alignment wrapText="1"/>
    </xf>
    <xf numFmtId="3" fontId="11" fillId="8" borderId="0" xfId="0" applyNumberFormat="1" applyFont="1" applyFill="1"/>
    <xf numFmtId="168" fontId="11" fillId="8" borderId="6" xfId="1" applyNumberFormat="1" applyFont="1" applyFill="1" applyBorder="1" applyAlignment="1">
      <alignment wrapText="1"/>
    </xf>
    <xf numFmtId="164" fontId="22" fillId="8" borderId="3" xfId="0" applyNumberFormat="1" applyFont="1" applyFill="1" applyBorder="1" applyProtection="1">
      <protection locked="0"/>
    </xf>
    <xf numFmtId="0" fontId="6" fillId="0" borderId="13" xfId="0" applyFont="1" applyBorder="1" applyAlignment="1">
      <alignment horizontal="center"/>
    </xf>
    <xf numFmtId="168" fontId="10" fillId="14" borderId="16" xfId="1" applyNumberFormat="1" applyFont="1" applyFill="1" applyBorder="1" applyProtection="1">
      <protection locked="0"/>
    </xf>
    <xf numFmtId="43" fontId="10" fillId="0" borderId="16" xfId="1" applyNumberFormat="1" applyFont="1" applyBorder="1"/>
    <xf numFmtId="0" fontId="10" fillId="8" borderId="7" xfId="0" applyFont="1" applyFill="1" applyBorder="1"/>
    <xf numFmtId="9" fontId="16" fillId="8" borderId="6" xfId="0" applyNumberFormat="1" applyFont="1" applyFill="1" applyBorder="1"/>
    <xf numFmtId="168" fontId="16" fillId="8" borderId="6" xfId="1" applyNumberFormat="1" applyFont="1" applyFill="1" applyBorder="1"/>
    <xf numFmtId="0" fontId="16" fillId="8" borderId="6" xfId="3" applyFont="1" applyFill="1" applyBorder="1" applyAlignment="1">
      <alignment horizontal="center" wrapText="1"/>
    </xf>
    <xf numFmtId="0" fontId="16" fillId="8" borderId="6" xfId="0" applyFont="1" applyFill="1" applyBorder="1"/>
    <xf numFmtId="0" fontId="16" fillId="8" borderId="6" xfId="0" applyFont="1" applyFill="1" applyBorder="1" applyAlignment="1">
      <alignment horizontal="center" vertical="center"/>
    </xf>
    <xf numFmtId="0" fontId="16" fillId="8" borderId="6" xfId="0" quotePrefix="1" applyFont="1" applyFill="1" applyBorder="1" applyAlignment="1">
      <alignment horizontal="right"/>
    </xf>
    <xf numFmtId="0" fontId="16" fillId="8" borderId="6" xfId="0" applyFont="1" applyFill="1" applyBorder="1" applyAlignment="1">
      <alignment horizontal="left" indent="1"/>
    </xf>
    <xf numFmtId="168" fontId="16" fillId="8" borderId="6" xfId="1" applyNumberFormat="1" applyFont="1" applyFill="1" applyBorder="1" applyAlignment="1">
      <alignment horizontal="left" indent="1"/>
    </xf>
    <xf numFmtId="168" fontId="16" fillId="8" borderId="6" xfId="1" quotePrefix="1" applyNumberFormat="1" applyFont="1" applyFill="1" applyBorder="1" applyAlignment="1">
      <alignment horizontal="right"/>
    </xf>
    <xf numFmtId="0" fontId="16" fillId="8" borderId="6" xfId="0" applyFont="1" applyFill="1" applyBorder="1" applyAlignment="1">
      <alignment wrapText="1"/>
    </xf>
    <xf numFmtId="0" fontId="11" fillId="0" borderId="16" xfId="0" applyFont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86" fillId="0" borderId="15" xfId="0" applyFont="1" applyBorder="1" applyAlignment="1">
      <alignment horizontal="left" vertical="center"/>
    </xf>
    <xf numFmtId="0" fontId="91" fillId="0" borderId="15" xfId="0" applyFont="1" applyBorder="1" applyAlignment="1">
      <alignment vertical="center" wrapText="1"/>
    </xf>
    <xf numFmtId="41" fontId="0" fillId="0" borderId="15" xfId="15" applyFont="1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86" fillId="0" borderId="15" xfId="0" applyFont="1" applyBorder="1" applyAlignment="1">
      <alignment vertical="center" wrapText="1"/>
    </xf>
    <xf numFmtId="0" fontId="86" fillId="0" borderId="15" xfId="0" applyFont="1" applyBorder="1" applyAlignment="1">
      <alignment horizontal="left" vertical="center" wrapText="1"/>
    </xf>
    <xf numFmtId="0" fontId="92" fillId="0" borderId="15" xfId="0" applyFont="1" applyBorder="1" applyAlignment="1">
      <alignment vertical="center" wrapText="1"/>
    </xf>
    <xf numFmtId="41" fontId="0" fillId="0" borderId="15" xfId="15" applyFont="1" applyBorder="1" applyAlignment="1">
      <alignment horizontal="left" vertical="center"/>
    </xf>
    <xf numFmtId="41" fontId="86" fillId="0" borderId="15" xfId="15" applyFont="1" applyBorder="1" applyAlignment="1">
      <alignment vertical="center"/>
    </xf>
    <xf numFmtId="0" fontId="86" fillId="0" borderId="15" xfId="0" applyFont="1" applyBorder="1" applyAlignment="1">
      <alignment horizontal="left" vertical="top" wrapText="1"/>
    </xf>
    <xf numFmtId="0" fontId="86" fillId="8" borderId="16" xfId="0" applyFont="1" applyFill="1" applyBorder="1" applyAlignment="1">
      <alignment horizontal="left" vertical="top" wrapText="1"/>
    </xf>
    <xf numFmtId="0" fontId="86" fillId="8" borderId="16" xfId="0" applyFont="1" applyFill="1" applyBorder="1" applyAlignment="1">
      <alignment horizontal="left" vertical="center"/>
    </xf>
    <xf numFmtId="0" fontId="86" fillId="0" borderId="15" xfId="0" applyFont="1" applyBorder="1" applyAlignment="1">
      <alignment horizontal="left" vertical="top"/>
    </xf>
    <xf numFmtId="0" fontId="90" fillId="0" borderId="15" xfId="0" applyFont="1" applyBorder="1" applyAlignment="1">
      <alignment vertical="center" wrapText="1"/>
    </xf>
    <xf numFmtId="0" fontId="86" fillId="8" borderId="16" xfId="0" applyFont="1" applyFill="1" applyBorder="1" applyAlignment="1">
      <alignment vertical="center"/>
    </xf>
    <xf numFmtId="15" fontId="86" fillId="0" borderId="15" xfId="0" applyNumberFormat="1" applyFont="1" applyBorder="1" applyAlignment="1">
      <alignment horizontal="center" vertical="center"/>
    </xf>
    <xf numFmtId="0" fontId="95" fillId="0" borderId="6" xfId="0" applyFont="1" applyBorder="1" applyAlignment="1">
      <alignment horizontal="left" vertical="center" wrapText="1"/>
    </xf>
    <xf numFmtId="0" fontId="95" fillId="0" borderId="6" xfId="0" applyFont="1" applyBorder="1" applyAlignment="1">
      <alignment vertical="center" wrapText="1"/>
    </xf>
    <xf numFmtId="41" fontId="95" fillId="0" borderId="6" xfId="15" applyFont="1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41" fontId="0" fillId="8" borderId="19" xfId="15" applyFont="1" applyFill="1" applyBorder="1" applyAlignment="1">
      <alignment vertical="center"/>
    </xf>
    <xf numFmtId="0" fontId="91" fillId="8" borderId="16" xfId="0" applyFont="1" applyFill="1" applyBorder="1" applyAlignment="1">
      <alignment wrapText="1"/>
    </xf>
    <xf numFmtId="0" fontId="91" fillId="8" borderId="16" xfId="0" applyFont="1" applyFill="1" applyBorder="1"/>
    <xf numFmtId="3" fontId="91" fillId="8" borderId="16" xfId="0" applyNumberFormat="1" applyFont="1" applyFill="1" applyBorder="1"/>
    <xf numFmtId="41" fontId="86" fillId="8" borderId="16" xfId="15" applyFont="1" applyFill="1" applyBorder="1" applyAlignment="1">
      <alignment horizontal="left" vertical="center"/>
    </xf>
    <xf numFmtId="0" fontId="95" fillId="0" borderId="6" xfId="0" quotePrefix="1" applyFont="1" applyBorder="1" applyAlignment="1">
      <alignment vertical="center" wrapText="1"/>
    </xf>
    <xf numFmtId="166" fontId="4" fillId="16" borderId="1" xfId="0" applyNumberFormat="1" applyFont="1" applyFill="1" applyBorder="1"/>
    <xf numFmtId="170" fontId="7" fillId="8" borderId="11" xfId="0" applyNumberFormat="1" applyFont="1" applyFill="1" applyBorder="1" applyAlignment="1">
      <alignment horizontal="center" wrapText="1"/>
    </xf>
    <xf numFmtId="0" fontId="0" fillId="8" borderId="15" xfId="0" applyFill="1" applyBorder="1" applyAlignment="1">
      <alignment horizontal="left" vertical="center" wrapText="1"/>
    </xf>
    <xf numFmtId="168" fontId="16" fillId="0" borderId="6" xfId="1" applyNumberFormat="1" applyFont="1" applyBorder="1"/>
    <xf numFmtId="15" fontId="17" fillId="0" borderId="6" xfId="0" applyNumberFormat="1" applyFont="1" applyBorder="1" applyAlignment="1">
      <alignment horizontal="center"/>
    </xf>
    <xf numFmtId="0" fontId="17" fillId="8" borderId="6" xfId="0" applyFont="1" applyFill="1" applyBorder="1" applyAlignment="1">
      <alignment horizontal="center"/>
    </xf>
    <xf numFmtId="168" fontId="16" fillId="0" borderId="1" xfId="1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8" borderId="6" xfId="0" applyFont="1" applyFill="1" applyBorder="1" applyAlignment="1">
      <alignment wrapText="1"/>
    </xf>
    <xf numFmtId="15" fontId="17" fillId="8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wrapText="1"/>
    </xf>
    <xf numFmtId="0" fontId="0" fillId="8" borderId="13" xfId="3" applyFont="1" applyFill="1" applyBorder="1" applyAlignment="1">
      <alignment horizontal="left" wrapText="1"/>
    </xf>
    <xf numFmtId="0" fontId="48" fillId="8" borderId="6" xfId="3" applyFont="1" applyFill="1" applyBorder="1" applyAlignment="1">
      <alignment horizontal="left" wrapText="1"/>
    </xf>
    <xf numFmtId="3" fontId="36" fillId="13" borderId="6" xfId="0" applyNumberFormat="1" applyFont="1" applyFill="1" applyBorder="1"/>
    <xf numFmtId="3" fontId="36" fillId="2" borderId="6" xfId="0" applyNumberFormat="1" applyFont="1" applyFill="1" applyBorder="1" applyProtection="1">
      <protection locked="0"/>
    </xf>
    <xf numFmtId="3" fontId="36" fillId="4" borderId="6" xfId="0" applyNumberFormat="1" applyFont="1" applyFill="1" applyBorder="1" applyProtection="1">
      <protection locked="0"/>
    </xf>
    <xf numFmtId="15" fontId="2" fillId="0" borderId="6" xfId="0" applyNumberFormat="1" applyFont="1" applyBorder="1" applyAlignment="1">
      <alignment horizontal="left" wrapText="1"/>
    </xf>
    <xf numFmtId="170" fontId="7" fillId="6" borderId="7" xfId="0" applyNumberFormat="1" applyFont="1" applyFill="1" applyBorder="1" applyAlignment="1">
      <alignment horizontal="center" wrapText="1"/>
    </xf>
    <xf numFmtId="170" fontId="7" fillId="7" borderId="7" xfId="0" applyNumberFormat="1" applyFont="1" applyFill="1" applyBorder="1" applyAlignment="1">
      <alignment horizontal="center" wrapText="1"/>
    </xf>
    <xf numFmtId="168" fontId="36" fillId="14" borderId="6" xfId="1" applyNumberFormat="1" applyFont="1" applyFill="1" applyBorder="1"/>
    <xf numFmtId="3" fontId="32" fillId="19" borderId="2" xfId="0" applyNumberFormat="1" applyFont="1" applyFill="1" applyBorder="1"/>
    <xf numFmtId="168" fontId="32" fillId="14" borderId="1" xfId="1" applyNumberFormat="1" applyFont="1" applyFill="1" applyBorder="1" applyProtection="1">
      <protection locked="0"/>
    </xf>
    <xf numFmtId="164" fontId="32" fillId="4" borderId="1" xfId="0" applyNumberFormat="1" applyFont="1" applyFill="1" applyBorder="1" applyProtection="1">
      <protection locked="0"/>
    </xf>
    <xf numFmtId="43" fontId="10" fillId="8" borderId="1" xfId="0" applyNumberFormat="1" applyFont="1" applyFill="1" applyBorder="1" applyProtection="1">
      <protection locked="0"/>
    </xf>
    <xf numFmtId="43" fontId="0" fillId="0" borderId="6" xfId="0" applyNumberFormat="1" applyBorder="1"/>
    <xf numFmtId="43" fontId="22" fillId="0" borderId="1" xfId="0" applyNumberFormat="1" applyFont="1" applyBorder="1" applyProtection="1">
      <protection locked="0"/>
    </xf>
    <xf numFmtId="43" fontId="22" fillId="8" borderId="1" xfId="0" applyNumberFormat="1" applyFont="1" applyFill="1" applyBorder="1" applyProtection="1">
      <protection locked="0"/>
    </xf>
    <xf numFmtId="43" fontId="10" fillId="0" borderId="6" xfId="0" applyNumberFormat="1" applyFont="1" applyBorder="1"/>
    <xf numFmtId="43" fontId="10" fillId="0" borderId="1" xfId="0" applyNumberFormat="1" applyFont="1" applyBorder="1" applyProtection="1">
      <protection locked="0"/>
    </xf>
    <xf numFmtId="43" fontId="6" fillId="0" borderId="1" xfId="0" applyNumberFormat="1" applyFont="1" applyBorder="1" applyAlignment="1">
      <alignment horizontal="center"/>
    </xf>
    <xf numFmtId="164" fontId="10" fillId="8" borderId="3" xfId="0" applyNumberFormat="1" applyFont="1" applyFill="1" applyBorder="1" applyAlignment="1">
      <alignment wrapText="1"/>
    </xf>
    <xf numFmtId="3" fontId="10" fillId="4" borderId="6" xfId="0" applyNumberFormat="1" applyFont="1" applyFill="1" applyBorder="1"/>
    <xf numFmtId="0" fontId="10" fillId="8" borderId="6" xfId="0" applyFont="1" applyFill="1" applyBorder="1" applyAlignment="1">
      <alignment horizontal="left" vertical="center" wrapText="1"/>
    </xf>
    <xf numFmtId="3" fontId="10" fillId="4" borderId="1" xfId="0" applyNumberFormat="1" applyFont="1" applyFill="1" applyBorder="1" applyProtection="1">
      <protection locked="0"/>
    </xf>
    <xf numFmtId="0" fontId="10" fillId="8" borderId="6" xfId="0" applyFont="1" applyFill="1" applyBorder="1" applyAlignment="1">
      <alignment wrapText="1"/>
    </xf>
    <xf numFmtId="164" fontId="10" fillId="4" borderId="3" xfId="0" applyNumberFormat="1" applyFont="1" applyFill="1" applyBorder="1" applyAlignment="1">
      <alignment wrapText="1"/>
    </xf>
    <xf numFmtId="164" fontId="10" fillId="0" borderId="3" xfId="0" applyNumberFormat="1" applyFont="1" applyBorder="1" applyAlignment="1">
      <alignment wrapText="1"/>
    </xf>
    <xf numFmtId="0" fontId="11" fillId="8" borderId="6" xfId="0" applyFont="1" applyFill="1" applyBorder="1" applyAlignment="1">
      <alignment horizontal="center" wrapText="1"/>
    </xf>
    <xf numFmtId="41" fontId="0" fillId="0" borderId="16" xfId="15" applyFont="1" applyBorder="1" applyAlignment="1">
      <alignment vertical="center"/>
    </xf>
    <xf numFmtId="0" fontId="0" fillId="8" borderId="16" xfId="0" applyFill="1" applyBorder="1"/>
    <xf numFmtId="0" fontId="11" fillId="8" borderId="9" xfId="0" applyFont="1" applyFill="1" applyBorder="1" applyAlignment="1">
      <alignment horizontal="center"/>
    </xf>
    <xf numFmtId="0" fontId="86" fillId="8" borderId="19" xfId="0" applyFont="1" applyFill="1" applyBorder="1" applyAlignment="1">
      <alignment horizontal="left" vertical="center" wrapText="1"/>
    </xf>
    <xf numFmtId="0" fontId="86" fillId="0" borderId="16" xfId="0" applyFont="1" applyBorder="1" applyAlignment="1">
      <alignment horizontal="left" vertical="center" wrapText="1"/>
    </xf>
    <xf numFmtId="0" fontId="86" fillId="0" borderId="16" xfId="0" applyFont="1" applyBorder="1" applyAlignment="1">
      <alignment vertical="center" wrapText="1"/>
    </xf>
    <xf numFmtId="0" fontId="86" fillId="0" borderId="16" xfId="0" applyFont="1" applyBorder="1" applyAlignment="1">
      <alignment horizontal="left" vertical="top" wrapText="1"/>
    </xf>
    <xf numFmtId="168" fontId="63" fillId="8" borderId="6" xfId="0" applyNumberFormat="1" applyFont="1" applyFill="1" applyBorder="1" applyAlignment="1">
      <alignment horizontal="center" wrapText="1"/>
    </xf>
    <xf numFmtId="166" fontId="6" fillId="8" borderId="1" xfId="0" applyNumberFormat="1" applyFont="1" applyFill="1" applyBorder="1" applyAlignment="1">
      <alignment horizontal="center" wrapText="1"/>
    </xf>
    <xf numFmtId="3" fontId="96" fillId="0" borderId="6" xfId="0" applyNumberFormat="1" applyFont="1" applyBorder="1" applyAlignment="1">
      <alignment horizontal="center"/>
    </xf>
    <xf numFmtId="166" fontId="63" fillId="8" borderId="1" xfId="0" applyNumberFormat="1" applyFont="1" applyFill="1" applyBorder="1" applyAlignment="1">
      <alignment horizontal="center" wrapText="1"/>
    </xf>
    <xf numFmtId="43" fontId="0" fillId="0" borderId="1" xfId="0" applyNumberFormat="1" applyBorder="1"/>
    <xf numFmtId="174" fontId="0" fillId="0" borderId="6" xfId="1" applyNumberFormat="1" applyFont="1" applyBorder="1"/>
    <xf numFmtId="170" fontId="6" fillId="8" borderId="2" xfId="0" applyNumberFormat="1" applyFont="1" applyFill="1" applyBorder="1" applyAlignment="1">
      <alignment horizontal="center" wrapText="1"/>
    </xf>
    <xf numFmtId="166" fontId="6" fillId="8" borderId="2" xfId="0" applyNumberFormat="1" applyFont="1" applyFill="1" applyBorder="1" applyAlignment="1">
      <alignment horizontal="center" wrapText="1"/>
    </xf>
    <xf numFmtId="168" fontId="6" fillId="8" borderId="2" xfId="0" applyNumberFormat="1" applyFont="1" applyFill="1" applyBorder="1" applyAlignment="1">
      <alignment horizontal="center" wrapText="1"/>
    </xf>
    <xf numFmtId="41" fontId="0" fillId="0" borderId="22" xfId="15" applyFont="1" applyBorder="1" applyAlignment="1">
      <alignment horizontal="left" vertical="center"/>
    </xf>
    <xf numFmtId="166" fontId="63" fillId="8" borderId="3" xfId="0" applyNumberFormat="1" applyFont="1" applyFill="1" applyBorder="1" applyAlignment="1">
      <alignment horizontal="center" wrapText="1"/>
    </xf>
    <xf numFmtId="0" fontId="92" fillId="0" borderId="20" xfId="0" applyFont="1" applyBorder="1" applyAlignment="1">
      <alignment vertical="center" wrapText="1"/>
    </xf>
    <xf numFmtId="0" fontId="90" fillId="8" borderId="21" xfId="0" applyFont="1" applyFill="1" applyBorder="1" applyAlignment="1">
      <alignment vertical="center" wrapText="1"/>
    </xf>
    <xf numFmtId="0" fontId="86" fillId="8" borderId="19" xfId="0" applyFont="1" applyFill="1" applyBorder="1" applyAlignment="1">
      <alignment vertical="center"/>
    </xf>
    <xf numFmtId="0" fontId="3" fillId="0" borderId="0" xfId="0" applyFont="1" applyAlignment="1">
      <alignment horizontal="center" wrapText="1"/>
    </xf>
    <xf numFmtId="0" fontId="2" fillId="17" borderId="6" xfId="0" applyFont="1" applyFill="1" applyBorder="1" applyAlignment="1">
      <alignment horizontal="center"/>
    </xf>
    <xf numFmtId="0" fontId="63" fillId="29" borderId="6" xfId="0" applyFont="1" applyFill="1" applyBorder="1" applyAlignment="1">
      <alignment horizontal="center" vertical="center"/>
    </xf>
    <xf numFmtId="3" fontId="10" fillId="0" borderId="6" xfId="0" applyNumberFormat="1" applyFont="1" applyBorder="1" applyProtection="1">
      <protection locked="0"/>
    </xf>
    <xf numFmtId="168" fontId="10" fillId="0" borderId="1" xfId="95" applyNumberFormat="1" applyFont="1" applyBorder="1" applyProtection="1">
      <protection locked="0"/>
    </xf>
    <xf numFmtId="3" fontId="16" fillId="0" borderId="0" xfId="0" applyNumberFormat="1" applyFont="1"/>
    <xf numFmtId="0" fontId="11" fillId="17" borderId="0" xfId="0" applyFont="1" applyFill="1"/>
    <xf numFmtId="0" fontId="11" fillId="17" borderId="0" xfId="0" applyFont="1" applyFill="1" applyAlignment="1">
      <alignment horizontal="left"/>
    </xf>
    <xf numFmtId="169" fontId="11" fillId="17" borderId="0" xfId="0" applyNumberFormat="1" applyFont="1" applyFill="1" applyAlignment="1" applyProtection="1">
      <alignment horizontal="center" wrapText="1"/>
      <protection locked="0"/>
    </xf>
    <xf numFmtId="0" fontId="10" fillId="17" borderId="0" xfId="0" applyFont="1" applyFill="1"/>
    <xf numFmtId="0" fontId="11" fillId="17" borderId="9" xfId="0" applyFont="1" applyFill="1" applyBorder="1" applyAlignment="1">
      <alignment horizontal="center" wrapText="1"/>
    </xf>
    <xf numFmtId="168" fontId="16" fillId="17" borderId="6" xfId="1" applyNumberFormat="1" applyFont="1" applyFill="1" applyBorder="1"/>
    <xf numFmtId="168" fontId="16" fillId="17" borderId="6" xfId="1" applyNumberFormat="1" applyFont="1" applyFill="1" applyBorder="1" applyAlignment="1">
      <alignment wrapText="1"/>
    </xf>
    <xf numFmtId="168" fontId="0" fillId="8" borderId="6" xfId="3" applyNumberFormat="1" applyFont="1" applyFill="1" applyBorder="1" applyAlignment="1">
      <alignment horizontal="left" wrapText="1"/>
    </xf>
    <xf numFmtId="168" fontId="0" fillId="8" borderId="6" xfId="3" applyNumberFormat="1" applyFont="1" applyFill="1" applyBorder="1" applyAlignment="1">
      <alignment horizontal="right" wrapText="1"/>
    </xf>
    <xf numFmtId="0" fontId="97" fillId="0" borderId="6" xfId="0" applyFont="1" applyBorder="1" applyAlignment="1">
      <alignment wrapText="1"/>
    </xf>
    <xf numFmtId="168" fontId="36" fillId="17" borderId="6" xfId="0" applyNumberFormat="1" applyFont="1" applyFill="1" applyBorder="1" applyAlignment="1">
      <alignment wrapText="1"/>
    </xf>
    <xf numFmtId="0" fontId="98" fillId="8" borderId="6" xfId="0" applyFont="1" applyFill="1" applyBorder="1" applyAlignment="1">
      <alignment horizontal="left" vertical="center"/>
    </xf>
    <xf numFmtId="14" fontId="99" fillId="5" borderId="2" xfId="0" applyNumberFormat="1" applyFont="1" applyFill="1" applyBorder="1"/>
    <xf numFmtId="164" fontId="99" fillId="8" borderId="1" xfId="0" applyNumberFormat="1" applyFont="1" applyFill="1" applyBorder="1" applyProtection="1">
      <protection locked="0"/>
    </xf>
    <xf numFmtId="164" fontId="99" fillId="0" borderId="1" xfId="0" applyNumberFormat="1" applyFont="1" applyBorder="1" applyProtection="1">
      <protection locked="0"/>
    </xf>
    <xf numFmtId="164" fontId="98" fillId="0" borderId="1" xfId="0" applyNumberFormat="1" applyFont="1" applyBorder="1" applyProtection="1">
      <protection locked="0"/>
    </xf>
    <xf numFmtId="164" fontId="98" fillId="8" borderId="1" xfId="0" applyNumberFormat="1" applyFont="1" applyFill="1" applyBorder="1" applyProtection="1">
      <protection locked="0"/>
    </xf>
    <xf numFmtId="3" fontId="99" fillId="5" borderId="6" xfId="0" applyNumberFormat="1" applyFont="1" applyFill="1" applyBorder="1"/>
    <xf numFmtId="164" fontId="4" fillId="8" borderId="1" xfId="0" applyNumberFormat="1" applyFont="1" applyFill="1" applyBorder="1" applyProtection="1">
      <protection locked="0"/>
    </xf>
    <xf numFmtId="3" fontId="99" fillId="19" borderId="2" xfId="0" applyNumberFormat="1" applyFont="1" applyFill="1" applyBorder="1"/>
    <xf numFmtId="168" fontId="99" fillId="0" borderId="1" xfId="1" applyNumberFormat="1" applyFont="1" applyFill="1" applyBorder="1" applyProtection="1">
      <protection locked="0"/>
    </xf>
    <xf numFmtId="168" fontId="22" fillId="0" borderId="1" xfId="1" applyNumberFormat="1" applyFont="1" applyFill="1" applyBorder="1" applyProtection="1">
      <protection locked="0"/>
    </xf>
    <xf numFmtId="168" fontId="0" fillId="8" borderId="6" xfId="1" applyNumberFormat="1" applyFont="1" applyFill="1" applyBorder="1" applyAlignment="1">
      <alignment vertical="center"/>
    </xf>
    <xf numFmtId="168" fontId="98" fillId="8" borderId="6" xfId="1" applyNumberFormat="1" applyFont="1" applyFill="1" applyBorder="1" applyAlignment="1">
      <alignment wrapText="1"/>
    </xf>
    <xf numFmtId="166" fontId="100" fillId="8" borderId="6" xfId="0" applyNumberFormat="1" applyFont="1" applyFill="1" applyBorder="1"/>
    <xf numFmtId="0" fontId="101" fillId="0" borderId="0" xfId="0" applyFont="1"/>
    <xf numFmtId="0" fontId="11" fillId="8" borderId="13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wrapText="1"/>
    </xf>
    <xf numFmtId="170" fontId="7" fillId="8" borderId="2" xfId="0" applyNumberFormat="1" applyFont="1" applyFill="1" applyBorder="1" applyAlignment="1">
      <alignment horizontal="center" wrapText="1"/>
    </xf>
    <xf numFmtId="166" fontId="63" fillId="8" borderId="14" xfId="0" applyNumberFormat="1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vertical="center" wrapText="1"/>
    </xf>
    <xf numFmtId="174" fontId="11" fillId="8" borderId="6" xfId="0" applyNumberFormat="1" applyFont="1" applyFill="1" applyBorder="1" applyAlignment="1">
      <alignment horizontal="center"/>
    </xf>
    <xf numFmtId="15" fontId="86" fillId="0" borderId="6" xfId="0" applyNumberFormat="1" applyFont="1" applyBorder="1" applyAlignment="1">
      <alignment horizontal="center" vertical="center"/>
    </xf>
    <xf numFmtId="166" fontId="6" fillId="8" borderId="6" xfId="0" applyNumberFormat="1" applyFont="1" applyFill="1" applyBorder="1" applyAlignment="1">
      <alignment horizontal="center" wrapText="1"/>
    </xf>
    <xf numFmtId="166" fontId="63" fillId="8" borderId="6" xfId="0" applyNumberFormat="1" applyFont="1" applyFill="1" applyBorder="1" applyAlignment="1">
      <alignment horizontal="center" wrapText="1"/>
    </xf>
    <xf numFmtId="0" fontId="51" fillId="16" borderId="6" xfId="0" applyFont="1" applyFill="1" applyBorder="1"/>
    <xf numFmtId="0" fontId="51" fillId="16" borderId="6" xfId="0" applyFont="1" applyFill="1" applyBorder="1" applyAlignment="1">
      <alignment horizontal="center" vertical="center"/>
    </xf>
    <xf numFmtId="3" fontId="51" fillId="16" borderId="6" xfId="1" applyNumberFormat="1" applyFont="1" applyFill="1" applyBorder="1" applyAlignment="1">
      <alignment horizontal="left" vertical="center"/>
    </xf>
    <xf numFmtId="173" fontId="51" fillId="16" borderId="6" xfId="0" applyNumberFormat="1" applyFont="1" applyFill="1" applyBorder="1" applyAlignment="1">
      <alignment vertical="center"/>
    </xf>
    <xf numFmtId="175" fontId="51" fillId="16" borderId="6" xfId="0" applyNumberFormat="1" applyFont="1" applyFill="1" applyBorder="1"/>
    <xf numFmtId="166" fontId="51" fillId="16" borderId="6" xfId="0" applyNumberFormat="1" applyFont="1" applyFill="1" applyBorder="1"/>
    <xf numFmtId="0" fontId="51" fillId="8" borderId="0" xfId="0" applyFont="1" applyFill="1"/>
    <xf numFmtId="174" fontId="51" fillId="8" borderId="0" xfId="0" applyNumberFormat="1" applyFont="1" applyFill="1"/>
    <xf numFmtId="168" fontId="102" fillId="8" borderId="6" xfId="0" applyNumberFormat="1" applyFont="1" applyFill="1" applyBorder="1"/>
    <xf numFmtId="0" fontId="0" fillId="0" borderId="0" xfId="0" applyAlignment="1">
      <alignment horizontal="center"/>
    </xf>
    <xf numFmtId="0" fontId="0" fillId="8" borderId="6" xfId="3" applyFont="1" applyFill="1" applyBorder="1" applyAlignment="1">
      <alignment horizontal="center"/>
    </xf>
    <xf numFmtId="0" fontId="48" fillId="8" borderId="6" xfId="3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8" fontId="0" fillId="8" borderId="6" xfId="1" applyNumberFormat="1" applyFont="1" applyFill="1" applyBorder="1" applyAlignment="1">
      <alignment horizontal="left" wrapText="1"/>
    </xf>
    <xf numFmtId="0" fontId="97" fillId="8" borderId="6" xfId="0" applyFont="1" applyFill="1" applyBorder="1" applyAlignment="1">
      <alignment wrapText="1"/>
    </xf>
    <xf numFmtId="166" fontId="0" fillId="8" borderId="6" xfId="1" applyFont="1" applyFill="1" applyBorder="1" applyAlignment="1">
      <alignment horizontal="left" wrapText="1"/>
    </xf>
    <xf numFmtId="168" fontId="16" fillId="34" borderId="6" xfId="1" applyNumberFormat="1" applyFont="1" applyFill="1" applyBorder="1"/>
    <xf numFmtId="168" fontId="16" fillId="34" borderId="6" xfId="1" applyNumberFormat="1" applyFont="1" applyFill="1" applyBorder="1" applyAlignment="1">
      <alignment wrapText="1"/>
    </xf>
    <xf numFmtId="164" fontId="10" fillId="34" borderId="1" xfId="0" applyNumberFormat="1" applyFont="1" applyFill="1" applyBorder="1" applyProtection="1">
      <protection locked="0"/>
    </xf>
    <xf numFmtId="0" fontId="2" fillId="34" borderId="6" xfId="0" applyFont="1" applyFill="1" applyBorder="1" applyAlignment="1">
      <alignment wrapText="1"/>
    </xf>
    <xf numFmtId="0" fontId="11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3" fontId="36" fillId="22" borderId="6" xfId="0" applyNumberFormat="1" applyFont="1" applyFill="1" applyBorder="1"/>
    <xf numFmtId="168" fontId="10" fillId="17" borderId="11" xfId="1" applyNumberFormat="1" applyFont="1" applyFill="1" applyBorder="1"/>
    <xf numFmtId="0" fontId="3" fillId="0" borderId="0" xfId="0" applyFont="1" applyAlignment="1">
      <alignment horizontal="center" wrapText="1"/>
    </xf>
    <xf numFmtId="0" fontId="2" fillId="17" borderId="6" xfId="0" applyFont="1" applyFill="1" applyBorder="1" applyAlignment="1">
      <alignment horizontal="center" vertical="center"/>
    </xf>
    <xf numFmtId="168" fontId="2" fillId="17" borderId="6" xfId="1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2" fillId="17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63" fillId="30" borderId="6" xfId="0" applyFont="1" applyFill="1" applyBorder="1" applyAlignment="1">
      <alignment horizontal="center" vertical="center"/>
    </xf>
    <xf numFmtId="173" fontId="65" fillId="0" borderId="13" xfId="1" applyNumberFormat="1" applyFont="1" applyBorder="1" applyAlignment="1">
      <alignment horizontal="center" vertical="center"/>
    </xf>
    <xf numFmtId="173" fontId="65" fillId="0" borderId="1" xfId="1" applyNumberFormat="1" applyFont="1" applyBorder="1" applyAlignment="1">
      <alignment horizontal="center" vertical="center"/>
    </xf>
    <xf numFmtId="0" fontId="63" fillId="29" borderId="7" xfId="0" applyFont="1" applyFill="1" applyBorder="1" applyAlignment="1">
      <alignment horizontal="center" vertical="center"/>
    </xf>
    <xf numFmtId="0" fontId="63" fillId="29" borderId="6" xfId="0" applyFont="1" applyFill="1" applyBorder="1" applyAlignment="1">
      <alignment horizontal="center" vertical="center"/>
    </xf>
    <xf numFmtId="0" fontId="63" fillId="30" borderId="9" xfId="0" applyFont="1" applyFill="1" applyBorder="1" applyAlignment="1">
      <alignment horizontal="center" vertical="center"/>
    </xf>
    <xf numFmtId="0" fontId="63" fillId="30" borderId="10" xfId="0" applyFont="1" applyFill="1" applyBorder="1" applyAlignment="1">
      <alignment horizontal="center" vertical="center"/>
    </xf>
    <xf numFmtId="0" fontId="63" fillId="30" borderId="7" xfId="0" applyFont="1" applyFill="1" applyBorder="1" applyAlignment="1">
      <alignment horizontal="center" vertical="center"/>
    </xf>
    <xf numFmtId="0" fontId="63" fillId="30" borderId="11" xfId="0" applyFont="1" applyFill="1" applyBorder="1" applyAlignment="1">
      <alignment horizontal="center" vertical="center"/>
    </xf>
    <xf numFmtId="0" fontId="63" fillId="30" borderId="12" xfId="0" applyFont="1" applyFill="1" applyBorder="1" applyAlignment="1">
      <alignment horizontal="center" vertical="center"/>
    </xf>
    <xf numFmtId="0" fontId="63" fillId="30" borderId="8" xfId="0" applyFont="1" applyFill="1" applyBorder="1" applyAlignment="1">
      <alignment horizontal="center" vertical="center"/>
    </xf>
  </cellXfs>
  <cellStyles count="144">
    <cellStyle name="Comma" xfId="1" builtinId="3"/>
    <cellStyle name="Comma [0]" xfId="15" builtinId="6"/>
    <cellStyle name="Comma [0] 2" xfId="10" xr:uid="{0C8793D3-1A12-45F1-A0CF-B54E2D6F5C28}"/>
    <cellStyle name="Comma [0] 2 2" xfId="14" xr:uid="{AEE0556B-E186-4395-B30E-A8F1063D7CBA}"/>
    <cellStyle name="Comma [0] 2 2 2" xfId="81" xr:uid="{DE2B7688-33A7-4056-9ED0-56A842295A05}"/>
    <cellStyle name="Comma [0] 2 2 2 2" xfId="117" xr:uid="{E1CC4AE5-00C1-4AAF-82EC-41AADB84B2B1}"/>
    <cellStyle name="Comma [0] 2 2 3" xfId="29" xr:uid="{5FF7800B-4D1D-4125-97DC-15054E4F6F7F}"/>
    <cellStyle name="Comma [0] 2 2 3 2" xfId="37" xr:uid="{4539C8F6-3D3E-4D34-A9A9-8F059F9339DB}"/>
    <cellStyle name="Comma [0] 2 2 3 2 2" xfId="46" xr:uid="{A6BC0517-01B9-4A9C-AF6F-08B3DE2079EA}"/>
    <cellStyle name="Comma [0] 2 2 4" xfId="86" xr:uid="{D7399701-AED9-4CA5-8AD2-373CF7A47979}"/>
    <cellStyle name="Comma [0] 2 6 2" xfId="96" xr:uid="{8B07203D-970E-4EA9-8FAE-C85C6916A40A}"/>
    <cellStyle name="Comma [0] 2 6 2 2" xfId="123" xr:uid="{CCB3AD9E-8456-423B-94EA-8AEBE03A18C3}"/>
    <cellStyle name="Comma [0] 3" xfId="26" xr:uid="{54F03DC7-4B1F-4C8B-BFE8-4095D456AE13}"/>
    <cellStyle name="Comma [0] 3 3" xfId="91" xr:uid="{F0CF4BC1-8A7E-4907-8ECE-7D4B8205383E}"/>
    <cellStyle name="Comma [0] 3 3 2" xfId="70" xr:uid="{B1A92335-349B-4D0E-9218-E0670B780AD9}"/>
    <cellStyle name="Comma [0] 3 3 3" xfId="118" xr:uid="{8BC2FDEE-E041-47BD-AD6B-9AF6993ED1E7}"/>
    <cellStyle name="Comma [0] 4" xfId="50" xr:uid="{976C57EF-3158-409E-8D47-093389F485E8}"/>
    <cellStyle name="Comma [0] 4 2" xfId="6" xr:uid="{DB917D67-747E-4300-A089-21644F2F15F3}"/>
    <cellStyle name="Comma [0] 4 2 2" xfId="85" xr:uid="{FD58C953-BB62-43C4-8206-0EE610BDE68B}"/>
    <cellStyle name="Comma [0] 5" xfId="102" xr:uid="{392B1CCF-B5EF-42AE-847B-294215DD0DCA}"/>
    <cellStyle name="Comma [0] 6" xfId="17" xr:uid="{BFA4FEEB-3B55-4F52-8CD7-D4F23C6B5702}"/>
    <cellStyle name="Comma 10" xfId="143" xr:uid="{83D9F899-2CC3-4F41-9910-C4D35FF37896}"/>
    <cellStyle name="Comma 11" xfId="141" xr:uid="{3F45AAEB-F84A-457B-AAB0-C3D84C85EFCF}"/>
    <cellStyle name="Comma 12" xfId="142" xr:uid="{DDC67673-9B75-44E6-AB4D-9968EEF43B59}"/>
    <cellStyle name="Comma 13" xfId="138" xr:uid="{AD8F303C-7C45-48A0-8AB6-BECAE86B1D4C}"/>
    <cellStyle name="Comma 14" xfId="136" xr:uid="{342C6542-2301-47BA-A15F-986D2C0CB979}"/>
    <cellStyle name="Comma 15" xfId="134" xr:uid="{9AF8C1C4-F104-4127-9AC7-795357862D1C}"/>
    <cellStyle name="Comma 16" xfId="139" xr:uid="{B7ACD8AD-DD0D-426B-A6D4-C53575E36852}"/>
    <cellStyle name="Comma 2" xfId="5" xr:uid="{DC8A4D80-8C0C-4E2E-9548-203B9E516F77}"/>
    <cellStyle name="Comma 2 2" xfId="27" xr:uid="{C60781C2-B687-4498-8C63-A42727A0D8AD}"/>
    <cellStyle name="Comma 2 2 2" xfId="36" xr:uid="{BDA45D0E-8E14-40AA-B9EC-5026FF4ED3BD}"/>
    <cellStyle name="Comma 2 2 2 2" xfId="25" xr:uid="{DF533A50-9CCB-4DEB-B7D5-C6704B822843}"/>
    <cellStyle name="Comma 2 2 3 2" xfId="99" xr:uid="{E8361F41-4C2D-4EB8-BFD8-4DBAE54A3E63}"/>
    <cellStyle name="Comma 2 6" xfId="95" xr:uid="{63737D18-03E0-412D-9DA8-1D793C44F35B}"/>
    <cellStyle name="Comma 2 6 2" xfId="122" xr:uid="{13B13290-59C7-4F3C-A182-A4F5E1BFB8E6}"/>
    <cellStyle name="Comma 3" xfId="9" xr:uid="{2D7431CE-932F-4F8C-906D-AF7F36DB7EC1}"/>
    <cellStyle name="Comma 3 2" xfId="48" xr:uid="{037185C3-3EDA-4CAA-B5B3-E8E406813DF6}"/>
    <cellStyle name="Comma 3 2 2" xfId="30" xr:uid="{CAC2FB49-5F55-4040-8568-11A497088D01}"/>
    <cellStyle name="Comma 3 2 2 3" xfId="78" xr:uid="{554DF7CA-89A1-42E6-968A-AB92A6171112}"/>
    <cellStyle name="Comma 3 2 2 3 2" xfId="115" xr:uid="{10878861-E47A-4AA8-87D5-0E7647468C6C}"/>
    <cellStyle name="Comma 3 2 3 2" xfId="108" xr:uid="{0ACFB2B9-514A-4B4C-A590-C3721D0CC5C8}"/>
    <cellStyle name="Comma 3 2 3 2 2" xfId="132" xr:uid="{21356F38-02B4-4788-A850-3B05B4AD7414}"/>
    <cellStyle name="Comma 3 3" xfId="92" xr:uid="{75CF2427-D486-417F-8321-B31FE7EBE620}"/>
    <cellStyle name="Comma 4" xfId="8" xr:uid="{53A9DE3F-A107-4672-AAE1-226C895E2F99}"/>
    <cellStyle name="Comma 4 2" xfId="65" xr:uid="{159F01C5-D6AD-449B-8550-F46FB33DCAEE}"/>
    <cellStyle name="Comma 5" xfId="12" xr:uid="{F32F7260-915D-4049-8906-6A6A5F523108}"/>
    <cellStyle name="Comma 6" xfId="90" xr:uid="{15CAF41C-1E35-433B-9607-FF70A691A35E}"/>
    <cellStyle name="Comma 7" xfId="137" xr:uid="{C5D92BF6-D15A-45B5-B754-C4C66C98C11C}"/>
    <cellStyle name="Comma 8" xfId="140" xr:uid="{DA4FB082-32E7-431F-AFFE-6C613D9C6C10}"/>
    <cellStyle name="Comma 9" xfId="135" xr:uid="{B76B382A-4AC4-476D-90E3-E3E4159C3AB1}"/>
    <cellStyle name="Currency 2" xfId="24" xr:uid="{8568513C-A2A3-4E23-A7F4-662D419DD68F}"/>
    <cellStyle name="Currency 2 2" xfId="40" xr:uid="{055A7B6C-000D-4F41-AE65-3E75AEA3523F}"/>
    <cellStyle name="Currency 2 3 2" xfId="105" xr:uid="{06B31B39-3F76-43EC-AC3F-A4808C082DB0}"/>
    <cellStyle name="Currency 3" xfId="34" xr:uid="{49AFEE80-DB1C-4BA7-8800-EAE118FE31FC}"/>
    <cellStyle name="Currency 3 2" xfId="44" xr:uid="{DE6DEEBC-0EFB-4796-8ABB-BFB26D920E2D}"/>
    <cellStyle name="Currency 4" xfId="58" xr:uid="{7F0413EE-62ED-4CE7-B066-28ED0C9E96DE}"/>
    <cellStyle name="Heading 1 2" xfId="18" xr:uid="{04557937-22F1-4E81-9F78-77EB61503C8F}"/>
    <cellStyle name="Heading 1 2 2" xfId="66" xr:uid="{B5189416-732E-42A3-B79D-C540D5506A29}"/>
    <cellStyle name="Heading 1 3" xfId="73" xr:uid="{C9EAC376-6846-44B6-9083-CE555D2A972A}"/>
    <cellStyle name="Heading 1 3 2" xfId="88" xr:uid="{D4E8276A-CF6F-4DB5-9D07-54457ED52313}"/>
    <cellStyle name="Heading 2 2" xfId="22" xr:uid="{278B80B0-9A17-4062-B80C-DF58DDA3638A}"/>
    <cellStyle name="Heading 2 2 2" xfId="67" xr:uid="{7DC17B53-3D8F-47CE-AEB2-638DBA031DF9}"/>
    <cellStyle name="Heading 2 3" xfId="75" xr:uid="{3122F334-9DCE-474C-864A-C791295565D2}"/>
    <cellStyle name="Heading 2 3 2" xfId="89" xr:uid="{B703EC7F-F57B-4BD7-BB92-0D9381DED8E4}"/>
    <cellStyle name="Heading 3 2" xfId="21" xr:uid="{9B2B2BF6-730A-4CFF-94B3-455B91AE03D4}"/>
    <cellStyle name="Heading 3 2 2" xfId="56" xr:uid="{67D95BAC-D66E-4F4E-A3B2-AA8A644B1F5B}"/>
    <cellStyle name="Hyperlink" xfId="2" builtinId="8"/>
    <cellStyle name="Normal" xfId="0" builtinId="0"/>
    <cellStyle name="Normal 10" xfId="64" xr:uid="{9D962E07-8F39-4D98-B42A-6067F79E9334}"/>
    <cellStyle name="Normal 10 2" xfId="120" xr:uid="{375C139F-86D1-4C91-ADFB-3FD6C8B2B2CE}"/>
    <cellStyle name="Normal 11" xfId="110" xr:uid="{BD65CEC5-F016-4B90-B8F1-8B0D1966B1FF}"/>
    <cellStyle name="Normal 11 2" xfId="68" xr:uid="{B9BB471B-B2A6-4719-A3AC-84D77BCE34AA}"/>
    <cellStyle name="Normal 12" xfId="16" xr:uid="{6EBD95B6-ACF2-468B-9A66-E791BA98BA92}"/>
    <cellStyle name="Normal 2" xfId="3" xr:uid="{6246C2BF-F712-4D84-AD63-E3EE59B0FA6D}"/>
    <cellStyle name="Normal 2 2" xfId="11" xr:uid="{3510A62C-149C-45C0-956A-47466BADEC99}"/>
    <cellStyle name="Normal 2 2 2" xfId="23" xr:uid="{03A3C4DF-2155-4DBC-BC2C-DA4AAE8317A6}"/>
    <cellStyle name="Normal 2 2 3" xfId="32" xr:uid="{0BB01F87-854F-44A3-9459-15E8AE7000F4}"/>
    <cellStyle name="Normal 2 2 3 2" xfId="83" xr:uid="{971D59E4-D8AC-4FD9-9F2B-2DD48B3A0A43}"/>
    <cellStyle name="Normal 2 2 3 2 2" xfId="33" xr:uid="{DB889CC7-D760-40A3-BE2E-45E828477D2C}"/>
    <cellStyle name="Normal 2 2 3 2 2 2" xfId="43" xr:uid="{9B7E483D-B569-4DF4-A7CB-E3CFB9CBCB4C}"/>
    <cellStyle name="Normal 2 2 3 2 2 2 2" xfId="114" xr:uid="{7F46CED4-7BE7-4477-845A-AF21B9613967}"/>
    <cellStyle name="Normal 2 2 3 2 2 2 2 2" xfId="100" xr:uid="{EFC1A1FE-DD04-4FD2-BF15-C960D833A6B7}"/>
    <cellStyle name="Normal 2 2 3 2 2 2 2 2 2" xfId="126" xr:uid="{27EB7B22-22B9-4816-BD23-69E2312DCBE1}"/>
    <cellStyle name="Normal 2 2 3 2 2 3" xfId="61" xr:uid="{237C6908-56AD-4A6F-A7CF-BA8E53E34D87}"/>
    <cellStyle name="Normal 2 2 3 2 2 3 2" xfId="62" xr:uid="{08556ED1-1D1F-4CF5-8031-A093DA791E80}"/>
    <cellStyle name="Normal 2 2 3 2 2 6 2" xfId="101" xr:uid="{CC91A30A-CAA4-47A5-AC66-39F8D182B467}"/>
    <cellStyle name="Normal 2 2 3 2 2 6 2 2" xfId="127" xr:uid="{D5E0375F-18FD-47DB-8C82-DF394110ADE0}"/>
    <cellStyle name="Normal 2 2 3 2 3 2" xfId="57" xr:uid="{29138597-46E9-4036-841C-7C7BD694C87A}"/>
    <cellStyle name="Normal 2 2 4" xfId="39" xr:uid="{B05923FD-7AEF-4620-A730-FF045CF1EBBA}"/>
    <cellStyle name="Normal 2 2 5" xfId="19" xr:uid="{9124C50A-5276-4082-9C95-76F804513A05}"/>
    <cellStyle name="Normal 2 2 8 2" xfId="98" xr:uid="{3314961D-4600-4E63-820F-A29D1C8D67A8}"/>
    <cellStyle name="Normal 2 2 8 2 2" xfId="125" xr:uid="{D6B31569-DFC5-43AC-BF10-841646CFE56D}"/>
    <cellStyle name="Normal 2 3" xfId="51" xr:uid="{53594DFC-C3A0-4113-A8CD-5432A866970E}"/>
    <cellStyle name="Normal 2 3 2 2" xfId="80" xr:uid="{05F37A59-DBFD-46A2-B825-165116735345}"/>
    <cellStyle name="Normal 2 3 2 2 2" xfId="97" xr:uid="{3E0AE110-1FA8-4FA5-BCF3-DCB382F64A17}"/>
    <cellStyle name="Normal 2 3 2 2 2 2" xfId="124" xr:uid="{B6C47DC9-9519-4F78-B65A-470DC498AB10}"/>
    <cellStyle name="Normal 2 3 2 3" xfId="94" xr:uid="{086095CC-80DF-42E0-A2F4-F08FA877863D}"/>
    <cellStyle name="Normal 2 3 2 3 2" xfId="121" xr:uid="{412DF095-350F-4BB9-88BA-2DE3BCD00FA1}"/>
    <cellStyle name="Normal 3" xfId="4" xr:uid="{35B6C60E-9A60-4503-BE0F-568FEDE79244}"/>
    <cellStyle name="Normal 3 2" xfId="41" xr:uid="{5A7F762B-0F93-45D4-9C75-95D44CC3EB59}"/>
    <cellStyle name="Normal 3 2 2" xfId="54" xr:uid="{0D52D70F-11CC-4182-A400-B858B3CD8028}"/>
    <cellStyle name="Normal 3 2 2 2 2" xfId="104" xr:uid="{F177569F-B4EB-4FCC-9033-9B5C58F658A2}"/>
    <cellStyle name="Normal 3 2 2 2 2 2" xfId="129" xr:uid="{AA097F75-B3E4-4E21-961A-DAF5F838E02D}"/>
    <cellStyle name="Normal 3 2 3" xfId="69" xr:uid="{37194A9B-47BD-498D-9DE2-C7799085835C}"/>
    <cellStyle name="Normal 3 2 3 2" xfId="111" xr:uid="{B36FB0C4-16F5-4991-A8DD-66F84D878DBF}"/>
    <cellStyle name="Normal 3 3" xfId="52" xr:uid="{92E4E1D0-D243-4DA4-B774-364182E2C238}"/>
    <cellStyle name="Normal 3 3 2" xfId="55" xr:uid="{C8B65062-C8FC-4C54-8539-96F4847F4D8C}"/>
    <cellStyle name="Normal 3 4" xfId="20" xr:uid="{22CFE039-7DA6-46A4-B89D-46B8F0A574FC}"/>
    <cellStyle name="Normal 4" xfId="13" xr:uid="{4D4A32BB-E7BC-470B-9D11-F29F6A64ADB9}"/>
    <cellStyle name="Normal 4 2" xfId="53" xr:uid="{7ADF2380-9A21-483F-94C4-B340EB78B2C2}"/>
    <cellStyle name="Normal 4 2 2" xfId="87" xr:uid="{38796FB8-2EE3-4AF1-8337-F1729E33E691}"/>
    <cellStyle name="Normal 4 2 2 2" xfId="119" xr:uid="{F55C55EE-882A-4823-84FE-ABFB349830AA}"/>
    <cellStyle name="Normal 4 3" xfId="45" xr:uid="{5CD0E5CA-D295-4412-8DCA-BFEB425A0477}"/>
    <cellStyle name="Normal 5" xfId="59" xr:uid="{B344D999-5469-485F-BAA9-E23B36160440}"/>
    <cellStyle name="Normal 6" xfId="7" xr:uid="{7C52F3DC-937B-4690-8383-683F8350D437}"/>
    <cellStyle name="Normal 6 2" xfId="60" xr:uid="{BB9D041C-99A0-4D62-AED1-BFB325DD1B16}"/>
    <cellStyle name="Normal 6 2 2" xfId="93" xr:uid="{D9A21798-1915-4B7F-A26B-BBF977A38FB7}"/>
    <cellStyle name="Normal 6 3" xfId="74" xr:uid="{B6425235-C53F-4C3F-8883-4997B1D66750}"/>
    <cellStyle name="Normal 6 3 2" xfId="112" xr:uid="{1F6E3DCD-5931-424F-A111-A4A327CE3695}"/>
    <cellStyle name="Normal 6 4" xfId="35" xr:uid="{33EFE447-5427-434E-81D8-1EAD146589EA}"/>
    <cellStyle name="Normal 7" xfId="77" xr:uid="{C0DB979C-2415-4D50-9577-1130C06DE374}"/>
    <cellStyle name="Normal 7 2" xfId="84" xr:uid="{2DCBDFD4-83B5-4055-8702-C546C63C9849}"/>
    <cellStyle name="Normal 7 2 2" xfId="103" xr:uid="{CDBE6A6E-D1A9-484F-A85B-C5E48EFBA151}"/>
    <cellStyle name="Normal 7 2 2 2" xfId="128" xr:uid="{A1D6F49D-9067-4A6E-B96D-F0E63F4949D8}"/>
    <cellStyle name="Normal 7 2 3" xfId="113" xr:uid="{1022898F-0DFC-4A6B-9DB1-1D6283982911}"/>
    <cellStyle name="Normal 8" xfId="72" xr:uid="{83C82947-9FC3-4264-85C2-65E86275BD55}"/>
    <cellStyle name="Normal 8 2" xfId="82" xr:uid="{5842E6ED-613B-4C27-B990-6D1379075D8C}"/>
    <cellStyle name="Normal 8 3" xfId="133" xr:uid="{3F4F8B6D-5C5B-4344-A677-91646DA7CB64}"/>
    <cellStyle name="Normal 9" xfId="76" xr:uid="{216CE597-4458-4FED-82AE-6CFBD9B0990C}"/>
    <cellStyle name="Percent 2" xfId="28" xr:uid="{9D6E8DAF-768E-44FD-8A63-0527C541E3A6}"/>
    <cellStyle name="Percent 2 2 2" xfId="49" xr:uid="{C8CE0327-B4E6-4849-9353-47A99868DE48}"/>
    <cellStyle name="Percent 2 2 2 2 3 2" xfId="63" xr:uid="{6C6CB85F-4E5A-4B49-BD9E-09900C576764}"/>
    <cellStyle name="Percent 2 2 2 2 3 2 2" xfId="116" xr:uid="{5BA27DF1-492B-4115-B05E-29E1A422AD21}"/>
    <cellStyle name="Percent 2 2 2 2 4" xfId="106" xr:uid="{7A541D8D-E64D-4B23-B630-5EF56DE7EA26}"/>
    <cellStyle name="Percent 2 2 2 2 4 2" xfId="130" xr:uid="{393FD843-2E0D-43BA-9A25-639143146B31}"/>
    <cellStyle name="Percent 2 2 2 4" xfId="31" xr:uid="{23D481E5-F460-4800-9979-39867D5909C7}"/>
    <cellStyle name="Percent 2 2 5" xfId="107" xr:uid="{B4EA8D5F-D7BD-4E49-9BD4-A8377DDCFBB6}"/>
    <cellStyle name="Percent 2 2 5 2" xfId="131" xr:uid="{886E395D-53BE-42C7-9C09-4F4D318E146D}"/>
    <cellStyle name="Percent 3" xfId="38" xr:uid="{CCF6EC93-B94B-4AF9-B9B3-54756C9751D8}"/>
    <cellStyle name="Percent 3 2" xfId="47" xr:uid="{6994E045-7397-4ADD-8792-9E1B3EA2FE16}"/>
    <cellStyle name="Percent 4" xfId="42" xr:uid="{A105B157-A3D8-40E9-83AB-11A4EE46F8B8}"/>
    <cellStyle name="Percent 4 2" xfId="71" xr:uid="{5509CA6B-87B3-4F77-AA60-3654157D8822}"/>
    <cellStyle name="Percent 5" xfId="109" xr:uid="{F405A922-0167-44F8-B3DD-C52AC4E955F2}"/>
    <cellStyle name="Percent 6" xfId="79" xr:uid="{1B991F70-089F-4128-A423-28B3EF421CA6}"/>
  </cellStyles>
  <dxfs count="8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</dxfs>
  <tableStyles count="1" defaultTableStyle="TableStyleMedium2" defaultPivotStyle="PivotStyleLight16">
    <tableStyle name="Sales Receipt Simple Blue Design" pivot="0" count="4" xr9:uid="{E2591872-8E9D-4B31-86D2-839C0FD34DC2}">
      <tableStyleElement type="wholeTable" dxfId="7"/>
      <tableStyleElement type="headerRow" dxfId="6"/>
      <tableStyleElement type="lastColumn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Cashflow</a:t>
            </a:r>
            <a:r>
              <a:rPr lang="en-ID" b="1" baseline="0"/>
              <a:t> Projection</a:t>
            </a:r>
          </a:p>
          <a:p>
            <a:pPr>
              <a:defRPr/>
            </a:pPr>
            <a:r>
              <a:rPr lang="en-ID" b="1" baseline="0"/>
              <a:t>Update On Tgl 17 Okt 2025</a:t>
            </a:r>
            <a:endParaRPr lang="en-ID" b="1"/>
          </a:p>
        </c:rich>
      </c:tx>
      <c:layout>
        <c:manualLayout>
          <c:xMode val="edge"/>
          <c:yMode val="edge"/>
          <c:x val="0.45003122490246555"/>
          <c:y val="2.2995845658643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Graph!$A$2:$P$2</c:f>
              <c:numCache>
                <c:formatCode>[$-409]d\-mmm;@</c:formatCode>
                <c:ptCount val="16"/>
                <c:pt idx="0">
                  <c:v>45947</c:v>
                </c:pt>
                <c:pt idx="1">
                  <c:v>45948</c:v>
                </c:pt>
                <c:pt idx="2">
                  <c:v>45949</c:v>
                </c:pt>
                <c:pt idx="3">
                  <c:v>45950</c:v>
                </c:pt>
                <c:pt idx="4">
                  <c:v>45951</c:v>
                </c:pt>
                <c:pt idx="5">
                  <c:v>45952</c:v>
                </c:pt>
                <c:pt idx="6">
                  <c:v>45953</c:v>
                </c:pt>
                <c:pt idx="7">
                  <c:v>45954</c:v>
                </c:pt>
                <c:pt idx="8">
                  <c:v>45955</c:v>
                </c:pt>
                <c:pt idx="9">
                  <c:v>45956</c:v>
                </c:pt>
                <c:pt idx="10">
                  <c:v>45957</c:v>
                </c:pt>
                <c:pt idx="11">
                  <c:v>45958</c:v>
                </c:pt>
                <c:pt idx="12">
                  <c:v>45959</c:v>
                </c:pt>
                <c:pt idx="13">
                  <c:v>45960</c:v>
                </c:pt>
                <c:pt idx="14">
                  <c:v>45961</c:v>
                </c:pt>
                <c:pt idx="15">
                  <c:v>45962</c:v>
                </c:pt>
              </c:numCache>
            </c:numRef>
          </c:cat>
          <c:val>
            <c:numRef>
              <c:f>Graph!$A$3:$P$3</c:f>
              <c:numCache>
                <c:formatCode>#,##0</c:formatCode>
                <c:ptCount val="16"/>
                <c:pt idx="0">
                  <c:v>-141062236.70270276</c:v>
                </c:pt>
                <c:pt idx="1">
                  <c:v>-141062236.70270276</c:v>
                </c:pt>
                <c:pt idx="2">
                  <c:v>-141062236.70270276</c:v>
                </c:pt>
                <c:pt idx="3">
                  <c:v>678739540.29729724</c:v>
                </c:pt>
                <c:pt idx="4">
                  <c:v>-627864456.82770276</c:v>
                </c:pt>
                <c:pt idx="5">
                  <c:v>-411497441.82770276</c:v>
                </c:pt>
                <c:pt idx="6">
                  <c:v>-1111319019.8817568</c:v>
                </c:pt>
                <c:pt idx="7">
                  <c:v>-227479962.88175678</c:v>
                </c:pt>
                <c:pt idx="8">
                  <c:v>-232979962.88175678</c:v>
                </c:pt>
                <c:pt idx="9">
                  <c:v>-232979962.88175678</c:v>
                </c:pt>
                <c:pt idx="10">
                  <c:v>-155954399.88175678</c:v>
                </c:pt>
                <c:pt idx="11">
                  <c:v>-494434454.88175678</c:v>
                </c:pt>
                <c:pt idx="12">
                  <c:v>-494434454.88175678</c:v>
                </c:pt>
                <c:pt idx="13">
                  <c:v>-1052501573.8817568</c:v>
                </c:pt>
                <c:pt idx="14">
                  <c:v>56113539.118243217</c:v>
                </c:pt>
                <c:pt idx="15">
                  <c:v>3558735421.1182432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B-455D-A34F-81807DE0D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311007"/>
        <c:axId val="268307167"/>
      </c:lineChart>
      <c:dateAx>
        <c:axId val="268311007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07167"/>
        <c:crosses val="autoZero"/>
        <c:auto val="1"/>
        <c:lblOffset val="100"/>
        <c:baseTimeUnit val="days"/>
      </c:dateAx>
      <c:valAx>
        <c:axId val="26830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1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20</xdr:row>
      <xdr:rowOff>63499</xdr:rowOff>
    </xdr:from>
    <xdr:to>
      <xdr:col>3</xdr:col>
      <xdr:colOff>613833</xdr:colOff>
      <xdr:row>26</xdr:row>
      <xdr:rowOff>158749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CF85D37-9EE5-9538-C874-7A0F7AE2EFFE}"/>
            </a:ext>
          </a:extLst>
        </xdr:cNvPr>
        <xdr:cNvCxnSpPr/>
      </xdr:nvCxnSpPr>
      <xdr:spPr>
        <a:xfrm>
          <a:off x="4413250" y="3788832"/>
          <a:ext cx="10583" cy="11747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439207</xdr:colOff>
      <xdr:row>5</xdr:row>
      <xdr:rowOff>136524</xdr:rowOff>
    </xdr:from>
    <xdr:to>
      <xdr:col>7</xdr:col>
      <xdr:colOff>338666</xdr:colOff>
      <xdr:row>27</xdr:row>
      <xdr:rowOff>21167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D2DA52C-C439-7E5E-65C6-2B906F9F6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264584</xdr:colOff>
      <xdr:row>20</xdr:row>
      <xdr:rowOff>69547</xdr:rowOff>
    </xdr:from>
    <xdr:to>
      <xdr:col>7</xdr:col>
      <xdr:colOff>899584</xdr:colOff>
      <xdr:row>20</xdr:row>
      <xdr:rowOff>96762</xdr:rowOff>
    </xdr:to>
    <xdr:cxnSp macro="">
      <xdr:nvCxnSpPr>
        <xdr:cNvPr id="4" name="Straight Connector 4">
          <a:extLst>
            <a:ext uri="{FF2B5EF4-FFF2-40B4-BE49-F238E27FC236}">
              <a16:creationId xmlns:a16="http://schemas.microsoft.com/office/drawing/2014/main" id="{E818C1AA-C22F-1C24-1EF4-72A786173039}"/>
            </a:ext>
          </a:extLst>
        </xdr:cNvPr>
        <xdr:cNvCxnSpPr/>
      </xdr:nvCxnSpPr>
      <xdr:spPr>
        <a:xfrm flipV="1">
          <a:off x="264584" y="3794880"/>
          <a:ext cx="9525000" cy="2721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237067</xdr:colOff>
      <xdr:row>22</xdr:row>
      <xdr:rowOff>25398</xdr:rowOff>
    </xdr:from>
    <xdr:to>
      <xdr:col>6</xdr:col>
      <xdr:colOff>247650</xdr:colOff>
      <xdr:row>28</xdr:row>
      <xdr:rowOff>120648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529D63C-68DF-4852-B743-92137AD6C372}"/>
            </a:ext>
          </a:extLst>
        </xdr:cNvPr>
        <xdr:cNvCxnSpPr/>
      </xdr:nvCxnSpPr>
      <xdr:spPr>
        <a:xfrm>
          <a:off x="7857067" y="4110565"/>
          <a:ext cx="10583" cy="11747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624416</xdr:colOff>
      <xdr:row>22</xdr:row>
      <xdr:rowOff>0</xdr:rowOff>
    </xdr:from>
    <xdr:to>
      <xdr:col>3</xdr:col>
      <xdr:colOff>634999</xdr:colOff>
      <xdr:row>28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357C2E7-4A81-4830-AD42-E204711D6FEC}"/>
            </a:ext>
          </a:extLst>
        </xdr:cNvPr>
        <xdr:cNvCxnSpPr/>
      </xdr:nvCxnSpPr>
      <xdr:spPr>
        <a:xfrm>
          <a:off x="4434416" y="4085167"/>
          <a:ext cx="10583" cy="11747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AY/CASH%20FLOW%20PROJECTION/JAY/123-Perkiraan%20Revenue%20and%20Expenses%20(Agt-Des%202021)%20Update%2023072021%20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AY/CORPORATE/BIAYA%20CORPORATE/BIAYA%20CORPOR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AY/CASH%20FLOW%20PROJECTION/JAY/Meeting%20Cash%20Flow%20CAC+BOD%20-%20Cut%20Off%2018%20Juli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Revenue"/>
      <sheetName val="Perkiraan Expenses"/>
      <sheetName val="OS Operasional"/>
      <sheetName val="OS Event"/>
      <sheetName val="Corp Ekspenses"/>
      <sheetName val="Expense Juli"/>
      <sheetName val="Forecast revenue conf"/>
      <sheetName val="Cash Flow Projection"/>
      <sheetName val="Tabungan"/>
      <sheetName val="Saldo Rek"/>
      <sheetName val="Invoices List"/>
      <sheetName val="Sheet2"/>
    </sheetNames>
    <sheetDataSet>
      <sheetData sheetId="0"/>
      <sheetData sheetId="1"/>
      <sheetData sheetId="2"/>
      <sheetData sheetId="3">
        <row r="40">
          <cell r="D40">
            <v>22960000</v>
          </cell>
        </row>
      </sheetData>
      <sheetData sheetId="4"/>
      <sheetData sheetId="5"/>
      <sheetData sheetId="6"/>
      <sheetData sheetId="7"/>
      <sheetData sheetId="8">
        <row r="20">
          <cell r="D20">
            <v>100000000</v>
          </cell>
        </row>
        <row r="24">
          <cell r="D24">
            <v>25000000</v>
          </cell>
        </row>
        <row r="30">
          <cell r="D30">
            <v>150000000</v>
          </cell>
        </row>
        <row r="33">
          <cell r="D33">
            <v>50000000</v>
          </cell>
        </row>
        <row r="36">
          <cell r="D36">
            <v>10000000</v>
          </cell>
        </row>
        <row r="37">
          <cell r="D37">
            <v>200000000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 Corporate-update Juli"/>
      <sheetName val="Biaya Corporate-update Agt"/>
    </sheetNames>
    <sheetDataSet>
      <sheetData sheetId="0"/>
      <sheetData sheetId="1">
        <row r="5">
          <cell r="H5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Projection"/>
      <sheetName val="Total Expense"/>
      <sheetName val="Tabungan"/>
      <sheetName val="Saldo Rek"/>
      <sheetName val="Pinjaman Keluarga"/>
      <sheetName val="Bunga Pinjaman BRI"/>
      <sheetName val="tag cc hsbc baru 6604"/>
      <sheetName val="tag cc hsbc lama 4439"/>
      <sheetName val="tag cc bri platinum 9007"/>
    </sheetNames>
    <sheetDataSet>
      <sheetData sheetId="0"/>
      <sheetData sheetId="1"/>
      <sheetData sheetId="2"/>
      <sheetData sheetId="3"/>
      <sheetData sheetId="4"/>
      <sheetData sheetId="5"/>
      <sheetData sheetId="6">
        <row r="60">
          <cell r="F60">
            <v>807643</v>
          </cell>
        </row>
      </sheetData>
      <sheetData sheetId="7">
        <row r="48">
          <cell r="F48">
            <v>2551810.4539999999</v>
          </cell>
        </row>
      </sheetData>
      <sheetData sheetId="8">
        <row r="27">
          <cell r="G27">
            <v>3635376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A354-4A0B-43EF-99CF-47A4CB56F9B1}">
  <sheetPr codeName="Sheet1"/>
  <dimension ref="A1:P30"/>
  <sheetViews>
    <sheetView topLeftCell="A6" zoomScale="60" zoomScaleNormal="60" workbookViewId="0">
      <selection activeCell="L24" sqref="L24"/>
    </sheetView>
  </sheetViews>
  <sheetFormatPr defaultRowHeight="15"/>
  <cols>
    <col min="1" max="1" width="18.140625" bestFit="1" customWidth="1"/>
    <col min="2" max="2" width="18.140625" customWidth="1"/>
    <col min="3" max="12" width="18.140625" bestFit="1" customWidth="1"/>
    <col min="13" max="13" width="17.5703125" bestFit="1" customWidth="1"/>
    <col min="14" max="14" width="24" customWidth="1"/>
    <col min="15" max="16" width="16" customWidth="1"/>
  </cols>
  <sheetData>
    <row r="1" spans="1:16">
      <c r="A1" s="496" t="s">
        <v>8</v>
      </c>
      <c r="B1" s="350" t="s">
        <v>9</v>
      </c>
      <c r="C1" s="350" t="s">
        <v>10</v>
      </c>
      <c r="D1" s="295" t="s">
        <v>11</v>
      </c>
      <c r="E1" s="353" t="s">
        <v>12</v>
      </c>
      <c r="F1" s="295" t="s">
        <v>13</v>
      </c>
      <c r="G1" s="353" t="s">
        <v>14</v>
      </c>
      <c r="H1" s="496" t="s">
        <v>8</v>
      </c>
      <c r="I1" s="350" t="s">
        <v>9</v>
      </c>
      <c r="J1" s="350" t="s">
        <v>10</v>
      </c>
      <c r="K1" s="295" t="s">
        <v>11</v>
      </c>
      <c r="L1" s="353" t="s">
        <v>12</v>
      </c>
      <c r="M1" s="295" t="s">
        <v>13</v>
      </c>
      <c r="N1" s="353" t="s">
        <v>14</v>
      </c>
      <c r="O1" s="496" t="s">
        <v>8</v>
      </c>
      <c r="P1" s="350" t="s">
        <v>9</v>
      </c>
    </row>
    <row r="2" spans="1:16">
      <c r="A2" s="302">
        <v>45947</v>
      </c>
      <c r="B2" s="302">
        <v>45948</v>
      </c>
      <c r="C2" s="302">
        <v>45949</v>
      </c>
      <c r="D2" s="302">
        <v>45950</v>
      </c>
      <c r="E2" s="302">
        <v>45951</v>
      </c>
      <c r="F2" s="302">
        <v>45952</v>
      </c>
      <c r="G2" s="302">
        <v>45953</v>
      </c>
      <c r="H2" s="302">
        <v>45954</v>
      </c>
      <c r="I2" s="302">
        <v>45955</v>
      </c>
      <c r="J2" s="302">
        <v>45956</v>
      </c>
      <c r="K2" s="302">
        <v>45957</v>
      </c>
      <c r="L2" s="302">
        <v>45958</v>
      </c>
      <c r="M2" s="302">
        <v>45959</v>
      </c>
      <c r="N2" s="302">
        <v>45960</v>
      </c>
      <c r="O2" s="302">
        <v>45961</v>
      </c>
      <c r="P2" s="302">
        <v>45962</v>
      </c>
    </row>
    <row r="3" spans="1:16">
      <c r="A3" s="507">
        <f>'CF Realisasi new'!C10</f>
        <v>-141062236.70270276</v>
      </c>
      <c r="B3" s="507">
        <f>'CF Realisasi new'!D10</f>
        <v>-141062236.70270276</v>
      </c>
      <c r="C3" s="507">
        <f>'CF Realisasi new'!E10</f>
        <v>-141062236.70270276</v>
      </c>
      <c r="D3" s="507">
        <f>'CF Realisasi new'!F10</f>
        <v>678739540.29729724</v>
      </c>
      <c r="E3" s="507">
        <f>'CF Realisasi new'!G10</f>
        <v>-627864456.82770276</v>
      </c>
      <c r="F3" s="507">
        <f>'CF Realisasi new'!H10</f>
        <v>-411497441.82770276</v>
      </c>
      <c r="G3" s="507">
        <f>'CF Realisasi new'!I10</f>
        <v>-1111319019.8817568</v>
      </c>
      <c r="H3" s="507">
        <f>'CF Realisasi new'!J10</f>
        <v>-227479962.88175678</v>
      </c>
      <c r="I3" s="507">
        <f>'CF Realisasi new'!K10</f>
        <v>-232979962.88175678</v>
      </c>
      <c r="J3" s="507">
        <f>'CF Realisasi new'!L10</f>
        <v>-232979962.88175678</v>
      </c>
      <c r="K3" s="507">
        <f>'CF Realisasi new'!M10</f>
        <v>-155954399.88175678</v>
      </c>
      <c r="L3" s="507">
        <f>'CF Realisasi new'!N10</f>
        <v>-494434454.88175678</v>
      </c>
      <c r="M3" s="507">
        <f>'CF Realisasi new'!O10</f>
        <v>-494434454.88175678</v>
      </c>
      <c r="N3" s="507">
        <f>'CF Realisasi new'!P10</f>
        <v>-1052501573.8817568</v>
      </c>
      <c r="O3" s="507">
        <f>'CF Realisasi new'!Q10</f>
        <v>56113539.118243217</v>
      </c>
      <c r="P3" s="507">
        <f>'CF Realisasi new'!R10</f>
        <v>3558735421.1182432</v>
      </c>
    </row>
    <row r="4" spans="1:16" ht="24.75" customHeight="1">
      <c r="A4" s="295"/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</row>
    <row r="6" spans="1:16" s="61" customFormat="1"/>
    <row r="25" spans="4:7" ht="13.5" customHeight="1"/>
    <row r="30" spans="4:7">
      <c r="D30" s="729" t="s">
        <v>704</v>
      </c>
      <c r="G30" s="729" t="s">
        <v>704</v>
      </c>
    </row>
  </sheetData>
  <conditionalFormatting sqref="A3:P3">
    <cfRule type="cellIs" dxfId="3" priority="1" stopIfTrue="1" operator="lessThanOrEqual">
      <formula>$B$7</formula>
    </cfRule>
  </conditionalFormatting>
  <dataValidations count="2">
    <dataValidation type="decimal" operator="lessThanOrEqual" allowBlank="1" showInputMessage="1" sqref="A3:P3" xr:uid="{5A6C9A2E-F870-4CA8-B423-84966FBE030E}">
      <formula1>10000000</formula1>
    </dataValidation>
    <dataValidation type="decimal" allowBlank="1" showInputMessage="1" sqref="A4:P4" xr:uid="{A73CF738-A516-4AA6-9A18-852873900724}">
      <formula1>-10000000</formula1>
      <formula2>10000000</formula2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25DC-B1C8-40B0-A232-45F47A569F88}">
  <sheetPr codeName="Sheet2">
    <tabColor rgb="FF00B0F0"/>
  </sheetPr>
  <dimension ref="A1:AY57"/>
  <sheetViews>
    <sheetView zoomScale="80" zoomScaleNormal="80" workbookViewId="0">
      <pane xSplit="1" ySplit="12" topLeftCell="B18" activePane="bottomRight" state="frozen"/>
      <selection pane="topRight" activeCell="B1" sqref="B1"/>
      <selection pane="bottomLeft" activeCell="A13" sqref="A13"/>
      <selection pane="bottomRight" activeCell="A13" sqref="A13"/>
    </sheetView>
  </sheetViews>
  <sheetFormatPr defaultColWidth="8" defaultRowHeight="12.75"/>
  <cols>
    <col min="1" max="1" width="36.28515625" style="9" customWidth="1"/>
    <col min="2" max="2" width="14.28515625" style="1" customWidth="1"/>
    <col min="3" max="50" width="14.140625" style="1" customWidth="1"/>
    <col min="51" max="51" width="17.7109375" style="1" customWidth="1"/>
    <col min="52" max="16384" width="8" style="1"/>
  </cols>
  <sheetData>
    <row r="1" spans="1:51" ht="22.5" customHeight="1">
      <c r="A1" s="765" t="s">
        <v>15</v>
      </c>
      <c r="B1" s="765"/>
    </row>
    <row r="2" spans="1:51">
      <c r="A2" s="765" t="s">
        <v>16</v>
      </c>
      <c r="B2" s="765"/>
    </row>
    <row r="3" spans="1:51">
      <c r="A3" s="698"/>
      <c r="B3" s="698"/>
    </row>
    <row r="4" spans="1:51">
      <c r="A4" s="698"/>
      <c r="B4" s="698"/>
    </row>
    <row r="5" spans="1:51">
      <c r="A5" s="698"/>
      <c r="B5" s="698"/>
    </row>
    <row r="6" spans="1:51">
      <c r="A6" s="1" t="s">
        <v>17</v>
      </c>
      <c r="B6" s="2">
        <v>45778</v>
      </c>
    </row>
    <row r="7" spans="1:51">
      <c r="A7" s="1" t="s">
        <v>18</v>
      </c>
      <c r="B7" s="3">
        <v>200000000</v>
      </c>
    </row>
    <row r="8" spans="1:51">
      <c r="A8" s="125" t="s">
        <v>19</v>
      </c>
      <c r="B8" s="482">
        <v>45823</v>
      </c>
      <c r="C8" s="350" t="s">
        <v>20</v>
      </c>
      <c r="D8" s="295" t="s">
        <v>21</v>
      </c>
      <c r="E8" s="353" t="s">
        <v>22</v>
      </c>
      <c r="F8" s="295" t="s">
        <v>23</v>
      </c>
      <c r="G8" s="353" t="s">
        <v>24</v>
      </c>
      <c r="H8" s="295" t="s">
        <v>25</v>
      </c>
      <c r="I8" s="295" t="s">
        <v>26</v>
      </c>
      <c r="J8" s="350" t="s">
        <v>20</v>
      </c>
      <c r="K8" s="295" t="s">
        <v>21</v>
      </c>
      <c r="L8" s="353" t="s">
        <v>22</v>
      </c>
      <c r="M8" s="295" t="s">
        <v>23</v>
      </c>
      <c r="N8" s="353" t="s">
        <v>24</v>
      </c>
      <c r="O8" s="295" t="s">
        <v>25</v>
      </c>
      <c r="P8" s="295" t="s">
        <v>26</v>
      </c>
      <c r="Q8" s="350" t="s">
        <v>20</v>
      </c>
      <c r="R8" s="295" t="s">
        <v>21</v>
      </c>
      <c r="S8" s="353" t="s">
        <v>22</v>
      </c>
      <c r="T8" s="295" t="s">
        <v>23</v>
      </c>
      <c r="U8" s="353" t="s">
        <v>24</v>
      </c>
      <c r="V8" s="295" t="s">
        <v>25</v>
      </c>
      <c r="W8" s="295" t="s">
        <v>26</v>
      </c>
      <c r="X8" s="350" t="s">
        <v>20</v>
      </c>
      <c r="Y8" s="295" t="s">
        <v>21</v>
      </c>
      <c r="Z8" s="353" t="s">
        <v>22</v>
      </c>
      <c r="AA8" s="295" t="s">
        <v>23</v>
      </c>
      <c r="AB8" s="353" t="s">
        <v>24</v>
      </c>
      <c r="AC8" s="295" t="s">
        <v>25</v>
      </c>
      <c r="AD8" s="295" t="s">
        <v>26</v>
      </c>
      <c r="AE8" s="350" t="s">
        <v>20</v>
      </c>
      <c r="AF8" s="295" t="s">
        <v>21</v>
      </c>
      <c r="AG8" s="353" t="s">
        <v>22</v>
      </c>
      <c r="AH8" s="295" t="s">
        <v>23</v>
      </c>
      <c r="AI8" s="353" t="s">
        <v>24</v>
      </c>
      <c r="AJ8" s="295" t="s">
        <v>25</v>
      </c>
      <c r="AK8" s="295" t="s">
        <v>26</v>
      </c>
      <c r="AL8" s="350" t="s">
        <v>20</v>
      </c>
      <c r="AM8" s="295" t="s">
        <v>21</v>
      </c>
      <c r="AN8" s="353" t="s">
        <v>22</v>
      </c>
      <c r="AO8" s="295" t="s">
        <v>23</v>
      </c>
      <c r="AP8" s="353" t="s">
        <v>24</v>
      </c>
      <c r="AQ8" s="295" t="s">
        <v>25</v>
      </c>
      <c r="AR8" s="295" t="s">
        <v>26</v>
      </c>
      <c r="AS8" s="350" t="s">
        <v>20</v>
      </c>
      <c r="AT8" s="295" t="s">
        <v>21</v>
      </c>
      <c r="AU8" s="353" t="s">
        <v>22</v>
      </c>
      <c r="AV8" s="295" t="s">
        <v>23</v>
      </c>
      <c r="AW8" s="353" t="s">
        <v>24</v>
      </c>
      <c r="AX8" s="295" t="s">
        <v>25</v>
      </c>
    </row>
    <row r="9" spans="1:51">
      <c r="A9" s="484"/>
      <c r="B9" s="356" t="s">
        <v>27</v>
      </c>
      <c r="C9" s="503">
        <v>45823</v>
      </c>
      <c r="D9" s="302">
        <v>45824</v>
      </c>
      <c r="E9" s="504">
        <v>45825</v>
      </c>
      <c r="F9" s="302">
        <v>45826</v>
      </c>
      <c r="G9" s="504">
        <v>45827</v>
      </c>
      <c r="H9" s="302">
        <v>45828</v>
      </c>
      <c r="I9" s="302">
        <v>45829</v>
      </c>
      <c r="J9" s="503">
        <v>45830</v>
      </c>
      <c r="K9" s="302">
        <v>45831</v>
      </c>
      <c r="L9" s="504">
        <v>45832</v>
      </c>
      <c r="M9" s="302">
        <v>45833</v>
      </c>
      <c r="N9" s="504">
        <v>45834</v>
      </c>
      <c r="O9" s="302">
        <v>45835</v>
      </c>
      <c r="P9" s="302">
        <v>45836</v>
      </c>
      <c r="Q9" s="503">
        <v>45837</v>
      </c>
      <c r="R9" s="302">
        <v>45838</v>
      </c>
      <c r="S9" s="504">
        <v>45839</v>
      </c>
      <c r="T9" s="302">
        <v>45840</v>
      </c>
      <c r="U9" s="504">
        <v>45841</v>
      </c>
      <c r="V9" s="302">
        <v>45842</v>
      </c>
      <c r="W9" s="302">
        <v>45843</v>
      </c>
      <c r="X9" s="503">
        <v>45844</v>
      </c>
      <c r="Y9" s="302">
        <v>45845</v>
      </c>
      <c r="Z9" s="504">
        <v>45846</v>
      </c>
      <c r="AA9" s="302">
        <v>45847</v>
      </c>
      <c r="AB9" s="504">
        <v>45848</v>
      </c>
      <c r="AC9" s="302">
        <v>45849</v>
      </c>
      <c r="AD9" s="302">
        <v>45850</v>
      </c>
      <c r="AE9" s="503">
        <v>45851</v>
      </c>
      <c r="AF9" s="302">
        <v>45852</v>
      </c>
      <c r="AG9" s="504">
        <v>45853</v>
      </c>
      <c r="AH9" s="302">
        <v>45854</v>
      </c>
      <c r="AI9" s="504">
        <v>45855</v>
      </c>
      <c r="AJ9" s="302">
        <v>45856</v>
      </c>
      <c r="AK9" s="302">
        <v>45857</v>
      </c>
      <c r="AL9" s="503">
        <v>45858</v>
      </c>
      <c r="AM9" s="302">
        <v>45859</v>
      </c>
      <c r="AN9" s="504">
        <v>45860</v>
      </c>
      <c r="AO9" s="302">
        <v>45861</v>
      </c>
      <c r="AP9" s="504">
        <v>45862</v>
      </c>
      <c r="AQ9" s="302">
        <v>45863</v>
      </c>
      <c r="AR9" s="302">
        <v>45864</v>
      </c>
      <c r="AS9" s="503">
        <v>45865</v>
      </c>
      <c r="AT9" s="302">
        <v>45866</v>
      </c>
      <c r="AU9" s="504">
        <v>45867</v>
      </c>
      <c r="AV9" s="302">
        <v>45868</v>
      </c>
      <c r="AW9" s="504">
        <v>45869</v>
      </c>
      <c r="AX9" s="302">
        <v>45870</v>
      </c>
      <c r="AY9" s="483" t="s">
        <v>28</v>
      </c>
    </row>
    <row r="10" spans="1:51" s="159" customFormat="1" ht="15">
      <c r="A10" s="485" t="s">
        <v>29</v>
      </c>
      <c r="B10" s="486" t="e">
        <f>#REF!</f>
        <v>#REF!</v>
      </c>
      <c r="C10" s="507" t="e">
        <f>B10</f>
        <v>#REF!</v>
      </c>
      <c r="D10" s="507" t="e">
        <f t="shared" ref="D10:AX10" si="0">(C10+D16)-D32</f>
        <v>#REF!</v>
      </c>
      <c r="E10" s="507" t="e">
        <f t="shared" si="0"/>
        <v>#REF!</v>
      </c>
      <c r="F10" s="507" t="e">
        <f t="shared" si="0"/>
        <v>#REF!</v>
      </c>
      <c r="G10" s="507" t="e">
        <f t="shared" si="0"/>
        <v>#REF!</v>
      </c>
      <c r="H10" s="507" t="e">
        <f t="shared" si="0"/>
        <v>#REF!</v>
      </c>
      <c r="I10" s="507" t="e">
        <f t="shared" si="0"/>
        <v>#REF!</v>
      </c>
      <c r="J10" s="507" t="e">
        <f t="shared" si="0"/>
        <v>#REF!</v>
      </c>
      <c r="K10" s="507" t="e">
        <f t="shared" si="0"/>
        <v>#REF!</v>
      </c>
      <c r="L10" s="507" t="e">
        <f t="shared" si="0"/>
        <v>#REF!</v>
      </c>
      <c r="M10" s="507" t="e">
        <f t="shared" si="0"/>
        <v>#REF!</v>
      </c>
      <c r="N10" s="507" t="e">
        <f t="shared" si="0"/>
        <v>#REF!</v>
      </c>
      <c r="O10" s="507" t="e">
        <f t="shared" si="0"/>
        <v>#REF!</v>
      </c>
      <c r="P10" s="507" t="e">
        <f t="shared" si="0"/>
        <v>#REF!</v>
      </c>
      <c r="Q10" s="507" t="e">
        <f t="shared" si="0"/>
        <v>#REF!</v>
      </c>
      <c r="R10" s="507" t="e">
        <f t="shared" si="0"/>
        <v>#REF!</v>
      </c>
      <c r="S10" s="507" t="e">
        <f t="shared" si="0"/>
        <v>#REF!</v>
      </c>
      <c r="T10" s="507" t="e">
        <f t="shared" si="0"/>
        <v>#REF!</v>
      </c>
      <c r="U10" s="507" t="e">
        <f t="shared" si="0"/>
        <v>#REF!</v>
      </c>
      <c r="V10" s="507" t="e">
        <f t="shared" si="0"/>
        <v>#REF!</v>
      </c>
      <c r="W10" s="507" t="e">
        <f t="shared" si="0"/>
        <v>#REF!</v>
      </c>
      <c r="X10" s="507" t="e">
        <f t="shared" si="0"/>
        <v>#REF!</v>
      </c>
      <c r="Y10" s="507" t="e">
        <f t="shared" si="0"/>
        <v>#REF!</v>
      </c>
      <c r="Z10" s="507" t="e">
        <f t="shared" si="0"/>
        <v>#REF!</v>
      </c>
      <c r="AA10" s="507" t="e">
        <f t="shared" si="0"/>
        <v>#REF!</v>
      </c>
      <c r="AB10" s="507" t="e">
        <f t="shared" si="0"/>
        <v>#REF!</v>
      </c>
      <c r="AC10" s="507" t="e">
        <f t="shared" si="0"/>
        <v>#REF!</v>
      </c>
      <c r="AD10" s="507" t="e">
        <f t="shared" si="0"/>
        <v>#REF!</v>
      </c>
      <c r="AE10" s="507" t="e">
        <f t="shared" si="0"/>
        <v>#REF!</v>
      </c>
      <c r="AF10" s="507" t="e">
        <f t="shared" si="0"/>
        <v>#REF!</v>
      </c>
      <c r="AG10" s="507" t="e">
        <f t="shared" si="0"/>
        <v>#REF!</v>
      </c>
      <c r="AH10" s="507" t="e">
        <f t="shared" si="0"/>
        <v>#REF!</v>
      </c>
      <c r="AI10" s="507" t="e">
        <f t="shared" si="0"/>
        <v>#REF!</v>
      </c>
      <c r="AJ10" s="507" t="e">
        <f t="shared" si="0"/>
        <v>#REF!</v>
      </c>
      <c r="AK10" s="507" t="e">
        <f t="shared" si="0"/>
        <v>#REF!</v>
      </c>
      <c r="AL10" s="507" t="e">
        <f t="shared" si="0"/>
        <v>#REF!</v>
      </c>
      <c r="AM10" s="507" t="e">
        <f t="shared" si="0"/>
        <v>#REF!</v>
      </c>
      <c r="AN10" s="507" t="e">
        <f t="shared" si="0"/>
        <v>#REF!</v>
      </c>
      <c r="AO10" s="507" t="e">
        <f t="shared" si="0"/>
        <v>#REF!</v>
      </c>
      <c r="AP10" s="507" t="e">
        <f t="shared" si="0"/>
        <v>#REF!</v>
      </c>
      <c r="AQ10" s="507" t="e">
        <f t="shared" si="0"/>
        <v>#REF!</v>
      </c>
      <c r="AR10" s="507" t="e">
        <f t="shared" si="0"/>
        <v>#REF!</v>
      </c>
      <c r="AS10" s="507" t="e">
        <f t="shared" si="0"/>
        <v>#REF!</v>
      </c>
      <c r="AT10" s="507" t="e">
        <f t="shared" si="0"/>
        <v>#REF!</v>
      </c>
      <c r="AU10" s="507" t="e">
        <f t="shared" si="0"/>
        <v>#REF!</v>
      </c>
      <c r="AV10" s="507" t="e">
        <f t="shared" si="0"/>
        <v>#REF!</v>
      </c>
      <c r="AW10" s="507" t="e">
        <f t="shared" si="0"/>
        <v>#REF!</v>
      </c>
      <c r="AX10" s="507" t="e">
        <f t="shared" si="0"/>
        <v>#REF!</v>
      </c>
      <c r="AY10" s="487" t="e">
        <f>SUM(B10:B10:AY10)</f>
        <v>#REF!</v>
      </c>
    </row>
    <row r="11" spans="1:51">
      <c r="A11" s="484"/>
      <c r="B11" s="438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</row>
    <row r="12" spans="1:51">
      <c r="A12" s="432" t="s">
        <v>30</v>
      </c>
      <c r="B12" s="488"/>
      <c r="C12" s="480"/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  <c r="W12" s="480"/>
      <c r="X12" s="480"/>
      <c r="Y12" s="480"/>
      <c r="Z12" s="480"/>
      <c r="AA12" s="480"/>
      <c r="AB12" s="480"/>
      <c r="AC12" s="480"/>
      <c r="AD12" s="480"/>
      <c r="AE12" s="480"/>
      <c r="AF12" s="480"/>
      <c r="AG12" s="480"/>
      <c r="AH12" s="480"/>
      <c r="AI12" s="480"/>
      <c r="AJ12" s="480"/>
      <c r="AK12" s="480"/>
      <c r="AL12" s="480"/>
      <c r="AM12" s="480"/>
      <c r="AN12" s="480"/>
      <c r="AO12" s="480"/>
      <c r="AP12" s="480"/>
      <c r="AQ12" s="480"/>
      <c r="AR12" s="480"/>
      <c r="AS12" s="480"/>
      <c r="AT12" s="480"/>
      <c r="AU12" s="480"/>
      <c r="AV12" s="480"/>
      <c r="AW12" s="480"/>
      <c r="AX12" s="480"/>
      <c r="AY12" s="500">
        <f ca="1">SUM(B12:B12:AY12)</f>
        <v>0</v>
      </c>
    </row>
    <row r="13" spans="1:51" s="243" customFormat="1">
      <c r="A13" s="374" t="s">
        <v>31</v>
      </c>
      <c r="B13" s="242" t="s">
        <v>32</v>
      </c>
      <c r="C13" s="478" t="e">
        <f>'IN-ACC-Piutang &amp; Revenue'!#REF!</f>
        <v>#REF!</v>
      </c>
      <c r="D13" s="478" t="e">
        <f>'IN-ACC-Piutang &amp; Revenue'!#REF!</f>
        <v>#REF!</v>
      </c>
      <c r="E13" s="478" t="e">
        <f>'IN-ACC-Piutang &amp; Revenue'!#REF!</f>
        <v>#REF!</v>
      </c>
      <c r="F13" s="478" t="e">
        <f>'IN-ACC-Piutang &amp; Revenue'!#REF!</f>
        <v>#REF!</v>
      </c>
      <c r="G13" s="478" t="e">
        <f>'IN-ACC-Piutang &amp; Revenue'!#REF!</f>
        <v>#REF!</v>
      </c>
      <c r="H13" s="478" t="e">
        <f>'IN-ACC-Piutang &amp; Revenue'!#REF!</f>
        <v>#REF!</v>
      </c>
      <c r="I13" s="478" t="e">
        <f>'IN-ACC-Piutang &amp; Revenue'!#REF!</f>
        <v>#REF!</v>
      </c>
      <c r="J13" s="478" t="e">
        <f>'IN-ACC-Piutang &amp; Revenue'!#REF!</f>
        <v>#REF!</v>
      </c>
      <c r="K13" s="478" t="e">
        <f>'IN-ACC-Piutang &amp; Revenue'!#REF!</f>
        <v>#REF!</v>
      </c>
      <c r="L13" s="478" t="e">
        <f>'IN-ACC-Piutang &amp; Revenue'!#REF!</f>
        <v>#REF!</v>
      </c>
      <c r="M13" s="478" t="e">
        <f>'IN-ACC-Piutang &amp; Revenue'!#REF!</f>
        <v>#REF!</v>
      </c>
      <c r="N13" s="478" t="e">
        <f>'IN-ACC-Piutang &amp; Revenue'!#REF!</f>
        <v>#REF!</v>
      </c>
      <c r="O13" s="478" t="e">
        <f>'IN-ACC-Piutang &amp; Revenue'!#REF!</f>
        <v>#REF!</v>
      </c>
      <c r="P13" s="478" t="e">
        <f>'IN-ACC-Piutang &amp; Revenue'!#REF!</f>
        <v>#REF!</v>
      </c>
      <c r="Q13" s="478" t="e">
        <f>'IN-ACC-Piutang &amp; Revenue'!#REF!</f>
        <v>#REF!</v>
      </c>
      <c r="R13" s="478" t="e">
        <f>'IN-ACC-Piutang &amp; Revenue'!#REF!</f>
        <v>#REF!</v>
      </c>
      <c r="S13" s="478" t="e">
        <f>'IN-ACC-Piutang &amp; Revenue'!#REF!</f>
        <v>#REF!</v>
      </c>
      <c r="T13" s="478" t="e">
        <f>'IN-ACC-Piutang &amp; Revenue'!#REF!</f>
        <v>#REF!</v>
      </c>
      <c r="U13" s="478" t="e">
        <f>'IN-ACC-Piutang &amp; Revenue'!#REF!</f>
        <v>#REF!</v>
      </c>
      <c r="V13" s="478" t="e">
        <f>'IN-ACC-Piutang &amp; Revenue'!#REF!</f>
        <v>#REF!</v>
      </c>
      <c r="W13" s="478" t="e">
        <f>'IN-ACC-Piutang &amp; Revenue'!#REF!</f>
        <v>#REF!</v>
      </c>
      <c r="X13" s="478" t="e">
        <f>'IN-ACC-Piutang &amp; Revenue'!#REF!</f>
        <v>#REF!</v>
      </c>
      <c r="Y13" s="478" t="e">
        <f>'IN-ACC-Piutang &amp; Revenue'!#REF!</f>
        <v>#REF!</v>
      </c>
      <c r="Z13" s="478" t="e">
        <f>'IN-ACC-Piutang &amp; Revenue'!#REF!</f>
        <v>#REF!</v>
      </c>
      <c r="AA13" s="478" t="e">
        <f>'IN-ACC-Piutang &amp; Revenue'!#REF!</f>
        <v>#REF!</v>
      </c>
      <c r="AB13" s="478" t="e">
        <f>'IN-ACC-Piutang &amp; Revenue'!#REF!</f>
        <v>#REF!</v>
      </c>
      <c r="AC13" s="478" t="e">
        <f>'IN-ACC-Piutang &amp; Revenue'!#REF!</f>
        <v>#REF!</v>
      </c>
      <c r="AD13" s="478" t="e">
        <f>'IN-ACC-Piutang &amp; Revenue'!#REF!</f>
        <v>#REF!</v>
      </c>
      <c r="AE13" s="478" t="e">
        <f>'IN-ACC-Piutang &amp; Revenue'!#REF!</f>
        <v>#REF!</v>
      </c>
      <c r="AF13" s="478" t="e">
        <f>'IN-ACC-Piutang &amp; Revenue'!#REF!</f>
        <v>#REF!</v>
      </c>
      <c r="AG13" s="478" t="e">
        <f>'IN-ACC-Piutang &amp; Revenue'!#REF!</f>
        <v>#REF!</v>
      </c>
      <c r="AH13" s="478" t="e">
        <f>'IN-ACC-Piutang &amp; Revenue'!#REF!</f>
        <v>#REF!</v>
      </c>
      <c r="AI13" s="478" t="e">
        <f>'IN-ACC-Piutang &amp; Revenue'!#REF!</f>
        <v>#REF!</v>
      </c>
      <c r="AJ13" s="478" t="e">
        <f>'IN-ACC-Piutang &amp; Revenue'!#REF!</f>
        <v>#REF!</v>
      </c>
      <c r="AK13" s="478" t="e">
        <f>'IN-ACC-Piutang &amp; Revenue'!#REF!</f>
        <v>#REF!</v>
      </c>
      <c r="AL13" s="478" t="e">
        <f>'IN-ACC-Piutang &amp; Revenue'!#REF!</f>
        <v>#REF!</v>
      </c>
      <c r="AM13" s="478" t="e">
        <f>'IN-ACC-Piutang &amp; Revenue'!#REF!</f>
        <v>#REF!</v>
      </c>
      <c r="AN13" s="478" t="e">
        <f>'IN-ACC-Piutang &amp; Revenue'!#REF!</f>
        <v>#REF!</v>
      </c>
      <c r="AO13" s="478" t="e">
        <f>'IN-ACC-Piutang &amp; Revenue'!#REF!</f>
        <v>#REF!</v>
      </c>
      <c r="AP13" s="478" t="e">
        <f>'IN-ACC-Piutang &amp; Revenue'!#REF!</f>
        <v>#REF!</v>
      </c>
      <c r="AQ13" s="478" t="e">
        <f>'IN-ACC-Piutang &amp; Revenue'!#REF!</f>
        <v>#REF!</v>
      </c>
      <c r="AR13" s="478" t="e">
        <f>'IN-ACC-Piutang &amp; Revenue'!#REF!</f>
        <v>#REF!</v>
      </c>
      <c r="AS13" s="478" t="e">
        <f>'IN-ACC-Piutang &amp; Revenue'!#REF!</f>
        <v>#REF!</v>
      </c>
      <c r="AT13" s="478" t="e">
        <f>'IN-ACC-Piutang &amp; Revenue'!#REF!</f>
        <v>#REF!</v>
      </c>
      <c r="AU13" s="478" t="e">
        <f>'IN-ACC-Piutang &amp; Revenue'!#REF!</f>
        <v>#REF!</v>
      </c>
      <c r="AV13" s="478" t="e">
        <f>'IN-ACC-Piutang &amp; Revenue'!#REF!</f>
        <v>#REF!</v>
      </c>
      <c r="AW13" s="478" t="e">
        <f>'IN-ACC-Piutang &amp; Revenue'!#REF!</f>
        <v>#REF!</v>
      </c>
      <c r="AX13" s="478" t="e">
        <f>'IN-ACC-Piutang &amp; Revenue'!#REF!</f>
        <v>#REF!</v>
      </c>
      <c r="AY13" s="502" t="e">
        <f>SUM(C13:AX13)</f>
        <v>#REF!</v>
      </c>
    </row>
    <row r="14" spans="1:51">
      <c r="A14" s="125" t="s">
        <v>33</v>
      </c>
      <c r="B14" s="124" t="s">
        <v>34</v>
      </c>
      <c r="C14" s="433" t="e">
        <f>'IN-CFC-Penerimaan PengemPinj'!#REF!</f>
        <v>#REF!</v>
      </c>
      <c r="D14" s="433" t="e">
        <f>'IN-CFC-Penerimaan PengemPinj'!#REF!</f>
        <v>#REF!</v>
      </c>
      <c r="E14" s="433" t="e">
        <f>'IN-CFC-Penerimaan PengemPinj'!#REF!</f>
        <v>#REF!</v>
      </c>
      <c r="F14" s="433" t="e">
        <f>'IN-CFC-Penerimaan PengemPinj'!#REF!</f>
        <v>#REF!</v>
      </c>
      <c r="G14" s="433" t="e">
        <f>'IN-CFC-Penerimaan PengemPinj'!#REF!</f>
        <v>#REF!</v>
      </c>
      <c r="H14" s="433" t="e">
        <f>'IN-CFC-Penerimaan PengemPinj'!#REF!</f>
        <v>#REF!</v>
      </c>
      <c r="I14" s="433" t="e">
        <f>'IN-CFC-Penerimaan PengemPinj'!#REF!</f>
        <v>#REF!</v>
      </c>
      <c r="J14" s="433" t="e">
        <f>'IN-CFC-Penerimaan PengemPinj'!#REF!</f>
        <v>#REF!</v>
      </c>
      <c r="K14" s="433" t="e">
        <f>'IN-CFC-Penerimaan PengemPinj'!#REF!</f>
        <v>#REF!</v>
      </c>
      <c r="L14" s="433" t="e">
        <f>'IN-CFC-Penerimaan PengemPinj'!#REF!</f>
        <v>#REF!</v>
      </c>
      <c r="M14" s="433" t="e">
        <f>'IN-CFC-Penerimaan PengemPinj'!#REF!</f>
        <v>#REF!</v>
      </c>
      <c r="N14" s="433" t="e">
        <f>'IN-CFC-Penerimaan PengemPinj'!#REF!</f>
        <v>#REF!</v>
      </c>
      <c r="O14" s="433" t="e">
        <f>'IN-CFC-Penerimaan PengemPinj'!#REF!</f>
        <v>#REF!</v>
      </c>
      <c r="P14" s="433" t="e">
        <f>'IN-CFC-Penerimaan PengemPinj'!#REF!</f>
        <v>#REF!</v>
      </c>
      <c r="Q14" s="433" t="e">
        <f>'IN-CFC-Penerimaan PengemPinj'!#REF!</f>
        <v>#REF!</v>
      </c>
      <c r="R14" s="433" t="e">
        <f>'IN-CFC-Penerimaan PengemPinj'!#REF!</f>
        <v>#REF!</v>
      </c>
      <c r="S14" s="433" t="e">
        <f>'IN-CFC-Penerimaan PengemPinj'!#REF!</f>
        <v>#REF!</v>
      </c>
      <c r="T14" s="433" t="e">
        <f>'IN-CFC-Penerimaan PengemPinj'!#REF!</f>
        <v>#REF!</v>
      </c>
      <c r="U14" s="433" t="e">
        <f>'IN-CFC-Penerimaan PengemPinj'!#REF!</f>
        <v>#REF!</v>
      </c>
      <c r="V14" s="433" t="e">
        <f>'IN-CFC-Penerimaan PengemPinj'!#REF!</f>
        <v>#REF!</v>
      </c>
      <c r="W14" s="433" t="e">
        <f>'IN-CFC-Penerimaan PengemPinj'!#REF!</f>
        <v>#REF!</v>
      </c>
      <c r="X14" s="433" t="e">
        <f>'IN-CFC-Penerimaan PengemPinj'!#REF!</f>
        <v>#REF!</v>
      </c>
      <c r="Y14" s="433" t="e">
        <f>'IN-CFC-Penerimaan PengemPinj'!#REF!</f>
        <v>#REF!</v>
      </c>
      <c r="Z14" s="433" t="e">
        <f>'IN-CFC-Penerimaan PengemPinj'!#REF!</f>
        <v>#REF!</v>
      </c>
      <c r="AA14" s="433" t="e">
        <f>'IN-CFC-Penerimaan PengemPinj'!#REF!</f>
        <v>#REF!</v>
      </c>
      <c r="AB14" s="433" t="e">
        <f>'IN-CFC-Penerimaan PengemPinj'!#REF!</f>
        <v>#REF!</v>
      </c>
      <c r="AC14" s="433" t="e">
        <f>'IN-CFC-Penerimaan PengemPinj'!#REF!</f>
        <v>#REF!</v>
      </c>
      <c r="AD14" s="433" t="e">
        <f>'IN-CFC-Penerimaan PengemPinj'!#REF!</f>
        <v>#REF!</v>
      </c>
      <c r="AE14" s="433" t="e">
        <f>'IN-CFC-Penerimaan PengemPinj'!#REF!</f>
        <v>#REF!</v>
      </c>
      <c r="AF14" s="433" t="e">
        <f>'IN-CFC-Penerimaan PengemPinj'!#REF!</f>
        <v>#REF!</v>
      </c>
      <c r="AG14" s="433" t="e">
        <f>'IN-CFC-Penerimaan PengemPinj'!#REF!</f>
        <v>#REF!</v>
      </c>
      <c r="AH14" s="433" t="e">
        <f>'IN-CFC-Penerimaan PengemPinj'!#REF!</f>
        <v>#REF!</v>
      </c>
      <c r="AI14" s="433" t="e">
        <f>'IN-CFC-Penerimaan PengemPinj'!#REF!</f>
        <v>#REF!</v>
      </c>
      <c r="AJ14" s="433" t="e">
        <f>'IN-CFC-Penerimaan PengemPinj'!#REF!</f>
        <v>#REF!</v>
      </c>
      <c r="AK14" s="433" t="e">
        <f>'IN-CFC-Penerimaan PengemPinj'!#REF!</f>
        <v>#REF!</v>
      </c>
      <c r="AL14" s="433" t="e">
        <f>'IN-CFC-Penerimaan PengemPinj'!#REF!</f>
        <v>#REF!</v>
      </c>
      <c r="AM14" s="433" t="e">
        <f>'IN-CFC-Penerimaan PengemPinj'!#REF!</f>
        <v>#REF!</v>
      </c>
      <c r="AN14" s="433" t="e">
        <f>'IN-CFC-Penerimaan PengemPinj'!#REF!</f>
        <v>#REF!</v>
      </c>
      <c r="AO14" s="433" t="e">
        <f>'IN-CFC-Penerimaan PengemPinj'!#REF!</f>
        <v>#REF!</v>
      </c>
      <c r="AP14" s="433" t="e">
        <f>'IN-CFC-Penerimaan PengemPinj'!#REF!</f>
        <v>#REF!</v>
      </c>
      <c r="AQ14" s="433" t="e">
        <f>'IN-CFC-Penerimaan PengemPinj'!#REF!</f>
        <v>#REF!</v>
      </c>
      <c r="AR14" s="433" t="e">
        <f>'IN-CFC-Penerimaan PengemPinj'!#REF!</f>
        <v>#REF!</v>
      </c>
      <c r="AS14" s="433" t="e">
        <f>'IN-CFC-Penerimaan PengemPinj'!#REF!</f>
        <v>#REF!</v>
      </c>
      <c r="AT14" s="433" t="e">
        <f>'IN-CFC-Penerimaan PengemPinj'!#REF!</f>
        <v>#REF!</v>
      </c>
      <c r="AU14" s="433" t="e">
        <f>'IN-CFC-Penerimaan PengemPinj'!#REF!</f>
        <v>#REF!</v>
      </c>
      <c r="AV14" s="433" t="e">
        <f>'IN-CFC-Penerimaan PengemPinj'!#REF!</f>
        <v>#REF!</v>
      </c>
      <c r="AW14" s="433" t="e">
        <f>'IN-CFC-Penerimaan PengemPinj'!#REF!</f>
        <v>#REF!</v>
      </c>
      <c r="AX14" s="433" t="e">
        <f>'IN-CFC-Penerimaan PengemPinj'!#REF!</f>
        <v>#REF!</v>
      </c>
      <c r="AY14" s="502" t="e">
        <f>SUM(C14:AX14)</f>
        <v>#REF!</v>
      </c>
    </row>
    <row r="15" spans="1:51">
      <c r="A15" s="125" t="s">
        <v>35</v>
      </c>
      <c r="B15" s="124"/>
      <c r="C15" s="433" t="e">
        <f>'IN-CFC-Suntikan Modal'!#REF!</f>
        <v>#REF!</v>
      </c>
      <c r="D15" s="433" t="e">
        <f>'IN-CFC-Suntikan Modal'!#REF!</f>
        <v>#REF!</v>
      </c>
      <c r="E15" s="433" t="e">
        <f>'IN-CFC-Suntikan Modal'!#REF!</f>
        <v>#REF!</v>
      </c>
      <c r="F15" s="433" t="e">
        <f>'IN-CFC-Suntikan Modal'!#REF!</f>
        <v>#REF!</v>
      </c>
      <c r="G15" s="433" t="e">
        <f>'IN-CFC-Suntikan Modal'!#REF!</f>
        <v>#REF!</v>
      </c>
      <c r="H15" s="433" t="e">
        <f>'IN-CFC-Suntikan Modal'!#REF!</f>
        <v>#REF!</v>
      </c>
      <c r="I15" s="433" t="e">
        <f>'IN-CFC-Suntikan Modal'!#REF!</f>
        <v>#REF!</v>
      </c>
      <c r="J15" s="433" t="e">
        <f>'IN-CFC-Suntikan Modal'!#REF!</f>
        <v>#REF!</v>
      </c>
      <c r="K15" s="433" t="e">
        <f>'IN-CFC-Suntikan Modal'!#REF!</f>
        <v>#REF!</v>
      </c>
      <c r="L15" s="433" t="e">
        <f>'IN-CFC-Suntikan Modal'!#REF!</f>
        <v>#REF!</v>
      </c>
      <c r="M15" s="433" t="e">
        <f>'IN-CFC-Suntikan Modal'!#REF!</f>
        <v>#REF!</v>
      </c>
      <c r="N15" s="433" t="e">
        <f>'IN-CFC-Suntikan Modal'!#REF!</f>
        <v>#REF!</v>
      </c>
      <c r="O15" s="433" t="e">
        <f>'IN-CFC-Suntikan Modal'!#REF!</f>
        <v>#REF!</v>
      </c>
      <c r="P15" s="433" t="e">
        <f>'IN-CFC-Suntikan Modal'!#REF!</f>
        <v>#REF!</v>
      </c>
      <c r="Q15" s="433" t="e">
        <f>'IN-CFC-Suntikan Modal'!#REF!</f>
        <v>#REF!</v>
      </c>
      <c r="R15" s="433" t="e">
        <f>'IN-CFC-Suntikan Modal'!#REF!</f>
        <v>#REF!</v>
      </c>
      <c r="S15" s="433" t="e">
        <f>'IN-CFC-Suntikan Modal'!#REF!</f>
        <v>#REF!</v>
      </c>
      <c r="T15" s="433" t="e">
        <f>'IN-CFC-Suntikan Modal'!#REF!</f>
        <v>#REF!</v>
      </c>
      <c r="U15" s="433" t="e">
        <f>'IN-CFC-Suntikan Modal'!#REF!</f>
        <v>#REF!</v>
      </c>
      <c r="V15" s="433" t="e">
        <f>'IN-CFC-Suntikan Modal'!#REF!</f>
        <v>#REF!</v>
      </c>
      <c r="W15" s="433" t="e">
        <f>'IN-CFC-Suntikan Modal'!#REF!</f>
        <v>#REF!</v>
      </c>
      <c r="X15" s="433" t="e">
        <f>'IN-CFC-Suntikan Modal'!#REF!</f>
        <v>#REF!</v>
      </c>
      <c r="Y15" s="433" t="e">
        <f>'IN-CFC-Suntikan Modal'!#REF!</f>
        <v>#REF!</v>
      </c>
      <c r="Z15" s="433" t="e">
        <f>'IN-CFC-Suntikan Modal'!#REF!</f>
        <v>#REF!</v>
      </c>
      <c r="AA15" s="433" t="e">
        <f>'IN-CFC-Suntikan Modal'!#REF!</f>
        <v>#REF!</v>
      </c>
      <c r="AB15" s="433" t="e">
        <f>'IN-CFC-Suntikan Modal'!#REF!</f>
        <v>#REF!</v>
      </c>
      <c r="AC15" s="433" t="e">
        <f>'IN-CFC-Suntikan Modal'!#REF!</f>
        <v>#REF!</v>
      </c>
      <c r="AD15" s="433" t="e">
        <f>'IN-CFC-Suntikan Modal'!#REF!</f>
        <v>#REF!</v>
      </c>
      <c r="AE15" s="433" t="e">
        <f>'IN-CFC-Suntikan Modal'!#REF!</f>
        <v>#REF!</v>
      </c>
      <c r="AF15" s="433" t="e">
        <f>'IN-CFC-Suntikan Modal'!#REF!</f>
        <v>#REF!</v>
      </c>
      <c r="AG15" s="433" t="e">
        <f>'IN-CFC-Suntikan Modal'!#REF!</f>
        <v>#REF!</v>
      </c>
      <c r="AH15" s="433" t="e">
        <f>'IN-CFC-Suntikan Modal'!#REF!</f>
        <v>#REF!</v>
      </c>
      <c r="AI15" s="433" t="e">
        <f>'IN-CFC-Suntikan Modal'!#REF!</f>
        <v>#REF!</v>
      </c>
      <c r="AJ15" s="433" t="e">
        <f>'IN-CFC-Suntikan Modal'!#REF!</f>
        <v>#REF!</v>
      </c>
      <c r="AK15" s="433" t="e">
        <f>'IN-CFC-Suntikan Modal'!#REF!</f>
        <v>#REF!</v>
      </c>
      <c r="AL15" s="433" t="e">
        <f>'IN-CFC-Suntikan Modal'!#REF!</f>
        <v>#REF!</v>
      </c>
      <c r="AM15" s="433" t="e">
        <f>'IN-CFC-Suntikan Modal'!#REF!</f>
        <v>#REF!</v>
      </c>
      <c r="AN15" s="433" t="e">
        <f>'IN-CFC-Suntikan Modal'!#REF!</f>
        <v>#REF!</v>
      </c>
      <c r="AO15" s="433" t="e">
        <f>'IN-CFC-Suntikan Modal'!#REF!</f>
        <v>#REF!</v>
      </c>
      <c r="AP15" s="433" t="e">
        <f>'IN-CFC-Suntikan Modal'!#REF!</f>
        <v>#REF!</v>
      </c>
      <c r="AQ15" s="433" t="e">
        <f>'IN-CFC-Suntikan Modal'!#REF!</f>
        <v>#REF!</v>
      </c>
      <c r="AR15" s="433" t="e">
        <f>'IN-CFC-Suntikan Modal'!#REF!</f>
        <v>#REF!</v>
      </c>
      <c r="AS15" s="433" t="e">
        <f>'IN-CFC-Suntikan Modal'!#REF!</f>
        <v>#REF!</v>
      </c>
      <c r="AT15" s="433" t="e">
        <f>'IN-CFC-Suntikan Modal'!#REF!</f>
        <v>#REF!</v>
      </c>
      <c r="AU15" s="433" t="e">
        <f>'IN-CFC-Suntikan Modal'!#REF!</f>
        <v>#REF!</v>
      </c>
      <c r="AV15" s="433" t="e">
        <f>'IN-CFC-Suntikan Modal'!#REF!</f>
        <v>#REF!</v>
      </c>
      <c r="AW15" s="433" t="e">
        <f>'IN-CFC-Suntikan Modal'!#REF!</f>
        <v>#REF!</v>
      </c>
      <c r="AX15" s="433" t="e">
        <f>'IN-CFC-Suntikan Modal'!#REF!</f>
        <v>#REF!</v>
      </c>
      <c r="AY15" s="502" t="e">
        <f>SUM(C15:AX15)</f>
        <v>#REF!</v>
      </c>
    </row>
    <row r="16" spans="1:51">
      <c r="A16" s="432" t="s">
        <v>36</v>
      </c>
      <c r="B16" s="489"/>
      <c r="C16" s="377"/>
      <c r="D16" s="377" t="e">
        <f t="shared" ref="D16:AX16" si="1">SUM(D13:D15)</f>
        <v>#REF!</v>
      </c>
      <c r="E16" s="377" t="e">
        <f t="shared" si="1"/>
        <v>#REF!</v>
      </c>
      <c r="F16" s="377" t="e">
        <f t="shared" si="1"/>
        <v>#REF!</v>
      </c>
      <c r="G16" s="377" t="e">
        <f t="shared" si="1"/>
        <v>#REF!</v>
      </c>
      <c r="H16" s="377" t="e">
        <f t="shared" si="1"/>
        <v>#REF!</v>
      </c>
      <c r="I16" s="377" t="e">
        <f t="shared" si="1"/>
        <v>#REF!</v>
      </c>
      <c r="J16" s="377" t="e">
        <f t="shared" si="1"/>
        <v>#REF!</v>
      </c>
      <c r="K16" s="377" t="e">
        <f t="shared" si="1"/>
        <v>#REF!</v>
      </c>
      <c r="L16" s="377" t="e">
        <f t="shared" si="1"/>
        <v>#REF!</v>
      </c>
      <c r="M16" s="377" t="e">
        <f t="shared" si="1"/>
        <v>#REF!</v>
      </c>
      <c r="N16" s="377" t="e">
        <f t="shared" si="1"/>
        <v>#REF!</v>
      </c>
      <c r="O16" s="377" t="e">
        <f t="shared" si="1"/>
        <v>#REF!</v>
      </c>
      <c r="P16" s="377" t="e">
        <f t="shared" si="1"/>
        <v>#REF!</v>
      </c>
      <c r="Q16" s="377" t="e">
        <f t="shared" si="1"/>
        <v>#REF!</v>
      </c>
      <c r="R16" s="377" t="e">
        <f t="shared" si="1"/>
        <v>#REF!</v>
      </c>
      <c r="S16" s="377" t="e">
        <f t="shared" si="1"/>
        <v>#REF!</v>
      </c>
      <c r="T16" s="377" t="e">
        <f t="shared" si="1"/>
        <v>#REF!</v>
      </c>
      <c r="U16" s="377" t="e">
        <f t="shared" si="1"/>
        <v>#REF!</v>
      </c>
      <c r="V16" s="377" t="e">
        <f t="shared" si="1"/>
        <v>#REF!</v>
      </c>
      <c r="W16" s="377" t="e">
        <f t="shared" si="1"/>
        <v>#REF!</v>
      </c>
      <c r="X16" s="377" t="e">
        <f t="shared" si="1"/>
        <v>#REF!</v>
      </c>
      <c r="Y16" s="377" t="e">
        <f t="shared" si="1"/>
        <v>#REF!</v>
      </c>
      <c r="Z16" s="377" t="e">
        <f t="shared" si="1"/>
        <v>#REF!</v>
      </c>
      <c r="AA16" s="377" t="e">
        <f t="shared" si="1"/>
        <v>#REF!</v>
      </c>
      <c r="AB16" s="377" t="e">
        <f t="shared" si="1"/>
        <v>#REF!</v>
      </c>
      <c r="AC16" s="377" t="e">
        <f t="shared" si="1"/>
        <v>#REF!</v>
      </c>
      <c r="AD16" s="377" t="e">
        <f t="shared" si="1"/>
        <v>#REF!</v>
      </c>
      <c r="AE16" s="377" t="e">
        <f t="shared" si="1"/>
        <v>#REF!</v>
      </c>
      <c r="AF16" s="377" t="e">
        <f t="shared" si="1"/>
        <v>#REF!</v>
      </c>
      <c r="AG16" s="377" t="e">
        <f t="shared" si="1"/>
        <v>#REF!</v>
      </c>
      <c r="AH16" s="377" t="e">
        <f t="shared" si="1"/>
        <v>#REF!</v>
      </c>
      <c r="AI16" s="377" t="e">
        <f t="shared" si="1"/>
        <v>#REF!</v>
      </c>
      <c r="AJ16" s="377" t="e">
        <f t="shared" si="1"/>
        <v>#REF!</v>
      </c>
      <c r="AK16" s="377" t="e">
        <f t="shared" si="1"/>
        <v>#REF!</v>
      </c>
      <c r="AL16" s="377" t="e">
        <f t="shared" si="1"/>
        <v>#REF!</v>
      </c>
      <c r="AM16" s="377" t="e">
        <f t="shared" si="1"/>
        <v>#REF!</v>
      </c>
      <c r="AN16" s="377" t="e">
        <f t="shared" si="1"/>
        <v>#REF!</v>
      </c>
      <c r="AO16" s="377" t="e">
        <f t="shared" si="1"/>
        <v>#REF!</v>
      </c>
      <c r="AP16" s="377" t="e">
        <f t="shared" si="1"/>
        <v>#REF!</v>
      </c>
      <c r="AQ16" s="377" t="e">
        <f t="shared" si="1"/>
        <v>#REF!</v>
      </c>
      <c r="AR16" s="377" t="e">
        <f t="shared" si="1"/>
        <v>#REF!</v>
      </c>
      <c r="AS16" s="377" t="e">
        <f t="shared" si="1"/>
        <v>#REF!</v>
      </c>
      <c r="AT16" s="377" t="e">
        <f t="shared" si="1"/>
        <v>#REF!</v>
      </c>
      <c r="AU16" s="377" t="e">
        <f t="shared" si="1"/>
        <v>#REF!</v>
      </c>
      <c r="AV16" s="377" t="e">
        <f t="shared" si="1"/>
        <v>#REF!</v>
      </c>
      <c r="AW16" s="377" t="e">
        <f t="shared" si="1"/>
        <v>#REF!</v>
      </c>
      <c r="AX16" s="377" t="e">
        <f t="shared" si="1"/>
        <v>#REF!</v>
      </c>
      <c r="AY16" s="521" t="e">
        <f>SUM(D16:AX16)</f>
        <v>#REF!</v>
      </c>
    </row>
    <row r="17" spans="1:51">
      <c r="A17" s="484"/>
      <c r="B17" s="438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477"/>
    </row>
    <row r="18" spans="1:51">
      <c r="A18" s="490" t="s">
        <v>37</v>
      </c>
      <c r="B18" s="488"/>
      <c r="C18" s="488"/>
      <c r="D18" s="488"/>
      <c r="E18" s="488"/>
      <c r="F18" s="488"/>
      <c r="G18" s="488"/>
      <c r="H18" s="488"/>
      <c r="I18" s="488"/>
      <c r="J18" s="488"/>
      <c r="K18" s="488"/>
      <c r="L18" s="488"/>
      <c r="M18" s="488"/>
      <c r="N18" s="488"/>
      <c r="O18" s="488"/>
      <c r="P18" s="488"/>
      <c r="Q18" s="488"/>
      <c r="R18" s="488"/>
      <c r="S18" s="488"/>
      <c r="T18" s="488"/>
      <c r="U18" s="488"/>
      <c r="V18" s="488"/>
      <c r="W18" s="488"/>
      <c r="X18" s="488"/>
      <c r="Y18" s="488"/>
      <c r="Z18" s="488"/>
      <c r="AA18" s="488"/>
      <c r="AB18" s="488"/>
      <c r="AC18" s="488"/>
      <c r="AD18" s="488"/>
      <c r="AE18" s="488"/>
      <c r="AF18" s="488"/>
      <c r="AG18" s="488"/>
      <c r="AH18" s="488"/>
      <c r="AI18" s="488"/>
      <c r="AJ18" s="488"/>
      <c r="AK18" s="488"/>
      <c r="AL18" s="488"/>
      <c r="AM18" s="488"/>
      <c r="AN18" s="488"/>
      <c r="AO18" s="488"/>
      <c r="AP18" s="488"/>
      <c r="AQ18" s="488"/>
      <c r="AR18" s="488"/>
      <c r="AS18" s="488"/>
      <c r="AT18" s="488"/>
      <c r="AU18" s="488"/>
      <c r="AV18" s="488"/>
      <c r="AW18" s="488"/>
      <c r="AX18" s="488"/>
      <c r="AY18" s="500">
        <f ca="1">SUM(B18:B18:AY18)</f>
        <v>0</v>
      </c>
    </row>
    <row r="19" spans="1:51">
      <c r="A19" s="423" t="s">
        <v>38</v>
      </c>
      <c r="B19" s="122" t="s">
        <v>39</v>
      </c>
      <c r="C19" s="433" t="e">
        <f>'OUT-ACC-PAJAK'!#REF!</f>
        <v>#REF!</v>
      </c>
      <c r="D19" s="433" t="e">
        <f>'OUT-ACC-PAJAK'!#REF!</f>
        <v>#REF!</v>
      </c>
      <c r="E19" s="433" t="e">
        <f>'OUT-ACC-PAJAK'!#REF!</f>
        <v>#REF!</v>
      </c>
      <c r="F19" s="433" t="e">
        <f>'OUT-ACC-PAJAK'!#REF!</f>
        <v>#REF!</v>
      </c>
      <c r="G19" s="433" t="e">
        <f>'OUT-ACC-PAJAK'!#REF!</f>
        <v>#REF!</v>
      </c>
      <c r="H19" s="433" t="e">
        <f>'OUT-ACC-PAJAK'!#REF!</f>
        <v>#REF!</v>
      </c>
      <c r="I19" s="433" t="e">
        <f>'OUT-ACC-PAJAK'!#REF!</f>
        <v>#REF!</v>
      </c>
      <c r="J19" s="433" t="e">
        <f>'OUT-ACC-PAJAK'!#REF!</f>
        <v>#REF!</v>
      </c>
      <c r="K19" s="433" t="e">
        <f>'OUT-ACC-PAJAK'!#REF!</f>
        <v>#REF!</v>
      </c>
      <c r="L19" s="433" t="e">
        <f>'OUT-ACC-PAJAK'!#REF!</f>
        <v>#REF!</v>
      </c>
      <c r="M19" s="433" t="e">
        <f>'OUT-ACC-PAJAK'!#REF!</f>
        <v>#REF!</v>
      </c>
      <c r="N19" s="433" t="e">
        <f>'OUT-ACC-PAJAK'!#REF!</f>
        <v>#REF!</v>
      </c>
      <c r="O19" s="433" t="e">
        <f>'OUT-ACC-PAJAK'!#REF!</f>
        <v>#REF!</v>
      </c>
      <c r="P19" s="433" t="e">
        <f>'OUT-ACC-PAJAK'!#REF!</f>
        <v>#REF!</v>
      </c>
      <c r="Q19" s="433" t="e">
        <f>'OUT-ACC-PAJAK'!#REF!</f>
        <v>#REF!</v>
      </c>
      <c r="R19" s="433" t="e">
        <f>'OUT-ACC-PAJAK'!#REF!</f>
        <v>#REF!</v>
      </c>
      <c r="S19" s="433" t="e">
        <f>'OUT-ACC-PAJAK'!#REF!</f>
        <v>#REF!</v>
      </c>
      <c r="T19" s="433" t="e">
        <f>'OUT-ACC-PAJAK'!#REF!</f>
        <v>#REF!</v>
      </c>
      <c r="U19" s="433" t="e">
        <f>'OUT-ACC-PAJAK'!#REF!</f>
        <v>#REF!</v>
      </c>
      <c r="V19" s="433" t="e">
        <f>'OUT-ACC-PAJAK'!#REF!</f>
        <v>#REF!</v>
      </c>
      <c r="W19" s="433" t="e">
        <f>'OUT-ACC-PAJAK'!#REF!</f>
        <v>#REF!</v>
      </c>
      <c r="X19" s="433" t="e">
        <f>'OUT-ACC-PAJAK'!#REF!</f>
        <v>#REF!</v>
      </c>
      <c r="Y19" s="433" t="e">
        <f>'OUT-ACC-PAJAK'!#REF!</f>
        <v>#REF!</v>
      </c>
      <c r="Z19" s="433" t="e">
        <f>'OUT-ACC-PAJAK'!#REF!</f>
        <v>#REF!</v>
      </c>
      <c r="AA19" s="433" t="e">
        <f>'OUT-ACC-PAJAK'!#REF!</f>
        <v>#REF!</v>
      </c>
      <c r="AB19" s="433" t="e">
        <f>'OUT-ACC-PAJAK'!#REF!</f>
        <v>#REF!</v>
      </c>
      <c r="AC19" s="433" t="e">
        <f>'OUT-ACC-PAJAK'!#REF!</f>
        <v>#REF!</v>
      </c>
      <c r="AD19" s="433" t="e">
        <f>'OUT-ACC-PAJAK'!#REF!</f>
        <v>#REF!</v>
      </c>
      <c r="AE19" s="433" t="e">
        <f>'OUT-ACC-PAJAK'!#REF!</f>
        <v>#REF!</v>
      </c>
      <c r="AF19" s="433" t="e">
        <f>'OUT-ACC-PAJAK'!#REF!</f>
        <v>#REF!</v>
      </c>
      <c r="AG19" s="433" t="e">
        <f>'OUT-ACC-PAJAK'!#REF!</f>
        <v>#REF!</v>
      </c>
      <c r="AH19" s="433" t="e">
        <f>'OUT-ACC-PAJAK'!#REF!</f>
        <v>#REF!</v>
      </c>
      <c r="AI19" s="433" t="e">
        <f>'OUT-ACC-PAJAK'!#REF!</f>
        <v>#REF!</v>
      </c>
      <c r="AJ19" s="433" t="e">
        <f>'OUT-ACC-PAJAK'!#REF!</f>
        <v>#REF!</v>
      </c>
      <c r="AK19" s="433" t="e">
        <f>'OUT-ACC-PAJAK'!#REF!</f>
        <v>#REF!</v>
      </c>
      <c r="AL19" s="433" t="e">
        <f>'OUT-ACC-PAJAK'!#REF!</f>
        <v>#REF!</v>
      </c>
      <c r="AM19" s="433" t="e">
        <f>'OUT-ACC-PAJAK'!#REF!</f>
        <v>#REF!</v>
      </c>
      <c r="AN19" s="433" t="e">
        <f>'OUT-ACC-PAJAK'!#REF!</f>
        <v>#REF!</v>
      </c>
      <c r="AO19" s="433" t="e">
        <f>'OUT-ACC-PAJAK'!#REF!</f>
        <v>#REF!</v>
      </c>
      <c r="AP19" s="433" t="e">
        <f>'OUT-ACC-PAJAK'!#REF!</f>
        <v>#REF!</v>
      </c>
      <c r="AQ19" s="433" t="e">
        <f>'OUT-ACC-PAJAK'!#REF!</f>
        <v>#REF!</v>
      </c>
      <c r="AR19" s="433" t="e">
        <f>'OUT-ACC-PAJAK'!#REF!</f>
        <v>#REF!</v>
      </c>
      <c r="AS19" s="433" t="e">
        <f>'OUT-ACC-PAJAK'!#REF!</f>
        <v>#REF!</v>
      </c>
      <c r="AT19" s="433" t="e">
        <f>'OUT-ACC-PAJAK'!#REF!</f>
        <v>#REF!</v>
      </c>
      <c r="AU19" s="433" t="e">
        <f>'OUT-ACC-PAJAK'!#REF!</f>
        <v>#REF!</v>
      </c>
      <c r="AV19" s="433" t="e">
        <f>'OUT-ACC-PAJAK'!#REF!</f>
        <v>#REF!</v>
      </c>
      <c r="AW19" s="433" t="e">
        <f>'OUT-ACC-PAJAK'!#REF!</f>
        <v>#REF!</v>
      </c>
      <c r="AX19" s="433" t="e">
        <f>'OUT-ACC-PAJAK'!#REF!</f>
        <v>#REF!</v>
      </c>
      <c r="AY19" s="520" t="e">
        <f t="shared" ref="AY19:AY31" si="2">SUM(C19:AX19)</f>
        <v>#REF!</v>
      </c>
    </row>
    <row r="20" spans="1:51" ht="14.25" customHeight="1">
      <c r="A20" s="126" t="s">
        <v>40</v>
      </c>
      <c r="B20" s="122" t="s">
        <v>41</v>
      </c>
      <c r="C20" s="433" t="e">
        <f>'OUT - HR - Gaji &amp; Benefit'!#REF!</f>
        <v>#REF!</v>
      </c>
      <c r="D20" s="433" t="e">
        <f>'OUT - HR - Gaji &amp; Benefit'!#REF!</f>
        <v>#REF!</v>
      </c>
      <c r="E20" s="433" t="e">
        <f>'OUT - HR - Gaji &amp; Benefit'!#REF!</f>
        <v>#REF!</v>
      </c>
      <c r="F20" s="433" t="e">
        <f>'OUT - HR - Gaji &amp; Benefit'!#REF!</f>
        <v>#REF!</v>
      </c>
      <c r="G20" s="433" t="e">
        <f>'OUT - HR - Gaji &amp; Benefit'!#REF!</f>
        <v>#REF!</v>
      </c>
      <c r="H20" s="433" t="e">
        <f>'OUT - HR - Gaji &amp; Benefit'!#REF!</f>
        <v>#REF!</v>
      </c>
      <c r="I20" s="433" t="e">
        <f>'OUT - HR - Gaji &amp; Benefit'!#REF!</f>
        <v>#REF!</v>
      </c>
      <c r="J20" s="433" t="e">
        <f>'OUT - HR - Gaji &amp; Benefit'!#REF!</f>
        <v>#REF!</v>
      </c>
      <c r="K20" s="433" t="e">
        <f>'OUT - HR - Gaji &amp; Benefit'!#REF!</f>
        <v>#REF!</v>
      </c>
      <c r="L20" s="433" t="e">
        <f>'OUT - HR - Gaji &amp; Benefit'!#REF!</f>
        <v>#REF!</v>
      </c>
      <c r="M20" s="433" t="e">
        <f>'OUT - HR - Gaji &amp; Benefit'!#REF!</f>
        <v>#REF!</v>
      </c>
      <c r="N20" s="433" t="e">
        <f>'OUT - HR - Gaji &amp; Benefit'!#REF!</f>
        <v>#REF!</v>
      </c>
      <c r="O20" s="433" t="e">
        <f>'OUT - HR - Gaji &amp; Benefit'!#REF!</f>
        <v>#REF!</v>
      </c>
      <c r="P20" s="433" t="e">
        <f>'OUT - HR - Gaji &amp; Benefit'!#REF!</f>
        <v>#REF!</v>
      </c>
      <c r="Q20" s="433" t="e">
        <f>'OUT - HR - Gaji &amp; Benefit'!#REF!</f>
        <v>#REF!</v>
      </c>
      <c r="R20" s="433" t="e">
        <f>'OUT - HR - Gaji &amp; Benefit'!#REF!</f>
        <v>#REF!</v>
      </c>
      <c r="S20" s="433" t="e">
        <f>'OUT - HR - Gaji &amp; Benefit'!#REF!</f>
        <v>#REF!</v>
      </c>
      <c r="T20" s="433" t="e">
        <f>'OUT - HR - Gaji &amp; Benefit'!#REF!</f>
        <v>#REF!</v>
      </c>
      <c r="U20" s="433" t="e">
        <f>'OUT - HR - Gaji &amp; Benefit'!#REF!</f>
        <v>#REF!</v>
      </c>
      <c r="V20" s="433" t="e">
        <f>'OUT - HR - Gaji &amp; Benefit'!#REF!</f>
        <v>#REF!</v>
      </c>
      <c r="W20" s="433" t="e">
        <f>'OUT - HR - Gaji &amp; Benefit'!#REF!</f>
        <v>#REF!</v>
      </c>
      <c r="X20" s="433" t="e">
        <f>'OUT - HR - Gaji &amp; Benefit'!#REF!</f>
        <v>#REF!</v>
      </c>
      <c r="Y20" s="433" t="e">
        <f>'OUT - HR - Gaji &amp; Benefit'!#REF!</f>
        <v>#REF!</v>
      </c>
      <c r="Z20" s="433" t="e">
        <f>'OUT - HR - Gaji &amp; Benefit'!#REF!</f>
        <v>#REF!</v>
      </c>
      <c r="AA20" s="433" t="e">
        <f>'OUT - HR - Gaji &amp; Benefit'!#REF!</f>
        <v>#REF!</v>
      </c>
      <c r="AB20" s="433" t="e">
        <f>'OUT - HR - Gaji &amp; Benefit'!#REF!</f>
        <v>#REF!</v>
      </c>
      <c r="AC20" s="433" t="e">
        <f>'OUT - HR - Gaji &amp; Benefit'!#REF!</f>
        <v>#REF!</v>
      </c>
      <c r="AD20" s="433" t="e">
        <f>'OUT - HR - Gaji &amp; Benefit'!#REF!</f>
        <v>#REF!</v>
      </c>
      <c r="AE20" s="433" t="e">
        <f>'OUT - HR - Gaji &amp; Benefit'!#REF!</f>
        <v>#REF!</v>
      </c>
      <c r="AF20" s="433" t="e">
        <f>'OUT - HR - Gaji &amp; Benefit'!#REF!</f>
        <v>#REF!</v>
      </c>
      <c r="AG20" s="433" t="e">
        <f>'OUT - HR - Gaji &amp; Benefit'!#REF!</f>
        <v>#REF!</v>
      </c>
      <c r="AH20" s="433" t="e">
        <f>'OUT - HR - Gaji &amp; Benefit'!#REF!</f>
        <v>#REF!</v>
      </c>
      <c r="AI20" s="433" t="e">
        <f>'OUT - HR - Gaji &amp; Benefit'!#REF!</f>
        <v>#REF!</v>
      </c>
      <c r="AJ20" s="433" t="e">
        <f>'OUT - HR - Gaji &amp; Benefit'!#REF!</f>
        <v>#REF!</v>
      </c>
      <c r="AK20" s="433" t="e">
        <f>'OUT - HR - Gaji &amp; Benefit'!#REF!</f>
        <v>#REF!</v>
      </c>
      <c r="AL20" s="433" t="e">
        <f>'OUT - HR - Gaji &amp; Benefit'!#REF!</f>
        <v>#REF!</v>
      </c>
      <c r="AM20" s="433" t="e">
        <f>'OUT - HR - Gaji &amp; Benefit'!#REF!</f>
        <v>#REF!</v>
      </c>
      <c r="AN20" s="433" t="e">
        <f>'OUT - HR - Gaji &amp; Benefit'!#REF!</f>
        <v>#REF!</v>
      </c>
      <c r="AO20" s="433" t="e">
        <f>'OUT - HR - Gaji &amp; Benefit'!#REF!</f>
        <v>#REF!</v>
      </c>
      <c r="AP20" s="433" t="e">
        <f>'OUT - HR - Gaji &amp; Benefit'!#REF!</f>
        <v>#REF!</v>
      </c>
      <c r="AQ20" s="433" t="e">
        <f>'OUT - HR - Gaji &amp; Benefit'!#REF!</f>
        <v>#REF!</v>
      </c>
      <c r="AR20" s="433" t="e">
        <f>'OUT - HR - Gaji &amp; Benefit'!#REF!</f>
        <v>#REF!</v>
      </c>
      <c r="AS20" s="433" t="e">
        <f>'OUT - HR - Gaji &amp; Benefit'!#REF!</f>
        <v>#REF!</v>
      </c>
      <c r="AT20" s="433" t="e">
        <f>'OUT - HR - Gaji &amp; Benefit'!#REF!</f>
        <v>#REF!</v>
      </c>
      <c r="AU20" s="433" t="e">
        <f>'OUT - HR - Gaji &amp; Benefit'!#REF!</f>
        <v>#REF!</v>
      </c>
      <c r="AV20" s="433" t="e">
        <f>'OUT - HR - Gaji &amp; Benefit'!#REF!</f>
        <v>#REF!</v>
      </c>
      <c r="AW20" s="433" t="e">
        <f>'OUT - HR - Gaji &amp; Benefit'!#REF!</f>
        <v>#REF!</v>
      </c>
      <c r="AX20" s="433" t="e">
        <f>'OUT - HR - Gaji &amp; Benefit'!#REF!</f>
        <v>#REF!</v>
      </c>
      <c r="AY20" s="520" t="e">
        <f t="shared" si="2"/>
        <v>#REF!</v>
      </c>
    </row>
    <row r="21" spans="1:51">
      <c r="A21" s="125" t="s">
        <v>42</v>
      </c>
      <c r="B21" s="122" t="s">
        <v>43</v>
      </c>
      <c r="C21" s="433" t="e">
        <f>'OUT - CFC - Corporate Expenses'!#REF!</f>
        <v>#REF!</v>
      </c>
      <c r="D21" s="433" t="e">
        <f>'OUT - CFC - Corporate Expenses'!#REF!</f>
        <v>#REF!</v>
      </c>
      <c r="E21" s="433" t="e">
        <f>'OUT - CFC - Corporate Expenses'!#REF!</f>
        <v>#REF!</v>
      </c>
      <c r="F21" s="433" t="e">
        <f>'OUT - CFC - Corporate Expenses'!#REF!</f>
        <v>#REF!</v>
      </c>
      <c r="G21" s="433" t="e">
        <f>'OUT - CFC - Corporate Expenses'!#REF!</f>
        <v>#REF!</v>
      </c>
      <c r="H21" s="433" t="e">
        <f>'OUT - CFC - Corporate Expenses'!#REF!</f>
        <v>#REF!</v>
      </c>
      <c r="I21" s="433" t="e">
        <f>'OUT - CFC - Corporate Expenses'!#REF!</f>
        <v>#REF!</v>
      </c>
      <c r="J21" s="433" t="e">
        <f>'OUT - CFC - Corporate Expenses'!#REF!</f>
        <v>#REF!</v>
      </c>
      <c r="K21" s="433" t="e">
        <f>'OUT - CFC - Corporate Expenses'!#REF!</f>
        <v>#REF!</v>
      </c>
      <c r="L21" s="433" t="e">
        <f>'OUT - CFC - Corporate Expenses'!#REF!</f>
        <v>#REF!</v>
      </c>
      <c r="M21" s="433" t="e">
        <f>'OUT - CFC - Corporate Expenses'!#REF!</f>
        <v>#REF!</v>
      </c>
      <c r="N21" s="433" t="e">
        <f>'OUT - CFC - Corporate Expenses'!#REF!</f>
        <v>#REF!</v>
      </c>
      <c r="O21" s="433" t="e">
        <f>'OUT - CFC - Corporate Expenses'!#REF!</f>
        <v>#REF!</v>
      </c>
      <c r="P21" s="433" t="e">
        <f>'OUT - CFC - Corporate Expenses'!#REF!</f>
        <v>#REF!</v>
      </c>
      <c r="Q21" s="433" t="e">
        <f>'OUT - CFC - Corporate Expenses'!#REF!</f>
        <v>#REF!</v>
      </c>
      <c r="R21" s="433" t="e">
        <f>'OUT - CFC - Corporate Expenses'!#REF!</f>
        <v>#REF!</v>
      </c>
      <c r="S21" s="433" t="e">
        <f>'OUT - CFC - Corporate Expenses'!#REF!</f>
        <v>#REF!</v>
      </c>
      <c r="T21" s="433" t="e">
        <f>'OUT - CFC - Corporate Expenses'!#REF!</f>
        <v>#REF!</v>
      </c>
      <c r="U21" s="433" t="e">
        <f>'OUT - CFC - Corporate Expenses'!#REF!</f>
        <v>#REF!</v>
      </c>
      <c r="V21" s="433" t="e">
        <f>'OUT - CFC - Corporate Expenses'!#REF!</f>
        <v>#REF!</v>
      </c>
      <c r="W21" s="433" t="e">
        <f>'OUT - CFC - Corporate Expenses'!#REF!</f>
        <v>#REF!</v>
      </c>
      <c r="X21" s="433" t="e">
        <f>'OUT - CFC - Corporate Expenses'!#REF!</f>
        <v>#REF!</v>
      </c>
      <c r="Y21" s="433" t="e">
        <f>'OUT - CFC - Corporate Expenses'!#REF!</f>
        <v>#REF!</v>
      </c>
      <c r="Z21" s="433" t="e">
        <f>'OUT - CFC - Corporate Expenses'!#REF!</f>
        <v>#REF!</v>
      </c>
      <c r="AA21" s="433" t="e">
        <f>'OUT - CFC - Corporate Expenses'!#REF!</f>
        <v>#REF!</v>
      </c>
      <c r="AB21" s="433" t="e">
        <f>'OUT - CFC - Corporate Expenses'!#REF!</f>
        <v>#REF!</v>
      </c>
      <c r="AC21" s="433" t="e">
        <f>'OUT - CFC - Corporate Expenses'!#REF!</f>
        <v>#REF!</v>
      </c>
      <c r="AD21" s="433" t="e">
        <f>'OUT - CFC - Corporate Expenses'!#REF!</f>
        <v>#REF!</v>
      </c>
      <c r="AE21" s="433" t="e">
        <f>'OUT - CFC - Corporate Expenses'!#REF!</f>
        <v>#REF!</v>
      </c>
      <c r="AF21" s="433" t="e">
        <f>'OUT - CFC - Corporate Expenses'!#REF!</f>
        <v>#REF!</v>
      </c>
      <c r="AG21" s="433" t="e">
        <f>'OUT - CFC - Corporate Expenses'!#REF!</f>
        <v>#REF!</v>
      </c>
      <c r="AH21" s="433" t="e">
        <f>'OUT - CFC - Corporate Expenses'!#REF!</f>
        <v>#REF!</v>
      </c>
      <c r="AI21" s="433" t="e">
        <f>'OUT - CFC - Corporate Expenses'!#REF!</f>
        <v>#REF!</v>
      </c>
      <c r="AJ21" s="433" t="e">
        <f>'OUT - CFC - Corporate Expenses'!#REF!</f>
        <v>#REF!</v>
      </c>
      <c r="AK21" s="433" t="e">
        <f>'OUT - CFC - Corporate Expenses'!#REF!</f>
        <v>#REF!</v>
      </c>
      <c r="AL21" s="433" t="e">
        <f>'OUT - CFC - Corporate Expenses'!#REF!</f>
        <v>#REF!</v>
      </c>
      <c r="AM21" s="433" t="e">
        <f>'OUT - CFC - Corporate Expenses'!#REF!</f>
        <v>#REF!</v>
      </c>
      <c r="AN21" s="433" t="e">
        <f>'OUT - CFC - Corporate Expenses'!#REF!</f>
        <v>#REF!</v>
      </c>
      <c r="AO21" s="433" t="e">
        <f>'OUT - CFC - Corporate Expenses'!#REF!</f>
        <v>#REF!</v>
      </c>
      <c r="AP21" s="433" t="e">
        <f>'OUT - CFC - Corporate Expenses'!#REF!</f>
        <v>#REF!</v>
      </c>
      <c r="AQ21" s="433" t="e">
        <f>'OUT - CFC - Corporate Expenses'!#REF!</f>
        <v>#REF!</v>
      </c>
      <c r="AR21" s="433" t="e">
        <f>'OUT - CFC - Corporate Expenses'!#REF!</f>
        <v>#REF!</v>
      </c>
      <c r="AS21" s="433" t="e">
        <f>'OUT - CFC - Corporate Expenses'!#REF!</f>
        <v>#REF!</v>
      </c>
      <c r="AT21" s="433" t="e">
        <f>'OUT - CFC - Corporate Expenses'!#REF!</f>
        <v>#REF!</v>
      </c>
      <c r="AU21" s="433" t="e">
        <f>'OUT - CFC - Corporate Expenses'!#REF!</f>
        <v>#REF!</v>
      </c>
      <c r="AV21" s="433" t="e">
        <f>'OUT - CFC - Corporate Expenses'!#REF!</f>
        <v>#REF!</v>
      </c>
      <c r="AW21" s="433" t="e">
        <f>'OUT - CFC - Corporate Expenses'!#REF!</f>
        <v>#REF!</v>
      </c>
      <c r="AX21" s="433" t="e">
        <f>'OUT - CFC - Corporate Expenses'!#REF!</f>
        <v>#REF!</v>
      </c>
      <c r="AY21" s="520" t="e">
        <f t="shared" si="2"/>
        <v>#REF!</v>
      </c>
    </row>
    <row r="22" spans="1:51">
      <c r="A22" s="125" t="s">
        <v>44</v>
      </c>
      <c r="B22" s="122" t="s">
        <v>45</v>
      </c>
      <c r="C22" s="433" t="e">
        <f>'OUT - ACC - Ops Kantor'!#REF!</f>
        <v>#REF!</v>
      </c>
      <c r="D22" s="518" t="e">
        <f>'OUT - ACC - Ops Kantor'!#REF!</f>
        <v>#REF!</v>
      </c>
      <c r="E22" s="518" t="e">
        <f>'OUT - ACC - Ops Kantor'!#REF!</f>
        <v>#REF!</v>
      </c>
      <c r="F22" s="517" t="e">
        <f>'OUT - ACC - Ops Kantor'!#REF!</f>
        <v>#REF!</v>
      </c>
      <c r="G22" s="518" t="e">
        <f>'OUT - ACC - Ops Kantor'!#REF!</f>
        <v>#REF!</v>
      </c>
      <c r="H22" s="517" t="e">
        <f>'OUT - ACC - Ops Kantor'!#REF!</f>
        <v>#REF!</v>
      </c>
      <c r="I22" s="517" t="e">
        <f>'OUT - ACC - Ops Kantor'!#REF!</f>
        <v>#REF!</v>
      </c>
      <c r="J22" s="517" t="e">
        <f>'OUT - ACC - Ops Kantor'!#REF!</f>
        <v>#REF!</v>
      </c>
      <c r="K22" s="517" t="e">
        <f>'OUT - ACC - Ops Kantor'!#REF!</f>
        <v>#REF!</v>
      </c>
      <c r="L22" s="517" t="e">
        <f>'OUT - ACC - Ops Kantor'!#REF!</f>
        <v>#REF!</v>
      </c>
      <c r="M22" s="517" t="e">
        <f>'OUT - ACC - Ops Kantor'!#REF!</f>
        <v>#REF!</v>
      </c>
      <c r="N22" s="517" t="e">
        <f>'OUT - ACC - Ops Kantor'!#REF!</f>
        <v>#REF!</v>
      </c>
      <c r="O22" s="517" t="e">
        <f>'OUT - ACC - Ops Kantor'!#REF!</f>
        <v>#REF!</v>
      </c>
      <c r="P22" s="517" t="e">
        <f>'OUT - ACC - Ops Kantor'!#REF!</f>
        <v>#REF!</v>
      </c>
      <c r="Q22" s="517" t="e">
        <f>'OUT - ACC - Ops Kantor'!#REF!</f>
        <v>#REF!</v>
      </c>
      <c r="R22" s="517" t="e">
        <f>'OUT - ACC - Ops Kantor'!#REF!</f>
        <v>#REF!</v>
      </c>
      <c r="S22" s="517" t="e">
        <f>'OUT - ACC - Ops Kantor'!#REF!</f>
        <v>#REF!</v>
      </c>
      <c r="T22" s="517" t="e">
        <f>'OUT - ACC - Ops Kantor'!#REF!</f>
        <v>#REF!</v>
      </c>
      <c r="U22" s="517" t="e">
        <f>'OUT - ACC - Ops Kantor'!#REF!</f>
        <v>#REF!</v>
      </c>
      <c r="V22" s="517" t="e">
        <f>'OUT - ACC - Ops Kantor'!#REF!</f>
        <v>#REF!</v>
      </c>
      <c r="W22" s="517" t="e">
        <f>'OUT - ACC - Ops Kantor'!#REF!</f>
        <v>#REF!</v>
      </c>
      <c r="X22" s="517" t="e">
        <f>'OUT - ACC - Ops Kantor'!#REF!</f>
        <v>#REF!</v>
      </c>
      <c r="Y22" s="517" t="e">
        <f>'OUT - ACC - Ops Kantor'!#REF!</f>
        <v>#REF!</v>
      </c>
      <c r="Z22" s="517" t="e">
        <f>'OUT - ACC - Ops Kantor'!#REF!</f>
        <v>#REF!</v>
      </c>
      <c r="AA22" s="517" t="e">
        <f>'OUT - ACC - Ops Kantor'!#REF!</f>
        <v>#REF!</v>
      </c>
      <c r="AB22" s="517" t="e">
        <f>'OUT - ACC - Ops Kantor'!#REF!</f>
        <v>#REF!</v>
      </c>
      <c r="AC22" s="517" t="e">
        <f>'OUT - ACC - Ops Kantor'!#REF!</f>
        <v>#REF!</v>
      </c>
      <c r="AD22" s="517" t="e">
        <f>'OUT - ACC - Ops Kantor'!#REF!</f>
        <v>#REF!</v>
      </c>
      <c r="AE22" s="517" t="e">
        <f>'OUT - ACC - Ops Kantor'!#REF!</f>
        <v>#REF!</v>
      </c>
      <c r="AF22" s="517" t="e">
        <f>'OUT - ACC - Ops Kantor'!#REF!</f>
        <v>#REF!</v>
      </c>
      <c r="AG22" s="517" t="e">
        <f>'OUT - ACC - Ops Kantor'!#REF!</f>
        <v>#REF!</v>
      </c>
      <c r="AH22" s="517" t="e">
        <f>'OUT - ACC - Ops Kantor'!#REF!</f>
        <v>#REF!</v>
      </c>
      <c r="AI22" s="517" t="e">
        <f>'OUT - ACC - Ops Kantor'!#REF!</f>
        <v>#REF!</v>
      </c>
      <c r="AJ22" s="517" t="e">
        <f>'OUT - ACC - Ops Kantor'!#REF!</f>
        <v>#REF!</v>
      </c>
      <c r="AK22" s="517" t="e">
        <f>'OUT - ACC - Ops Kantor'!#REF!</f>
        <v>#REF!</v>
      </c>
      <c r="AL22" s="517" t="e">
        <f>'OUT - ACC - Ops Kantor'!#REF!</f>
        <v>#REF!</v>
      </c>
      <c r="AM22" s="517" t="e">
        <f>'OUT - ACC - Ops Kantor'!#REF!</f>
        <v>#REF!</v>
      </c>
      <c r="AN22" s="517" t="e">
        <f>'OUT - ACC - Ops Kantor'!#REF!</f>
        <v>#REF!</v>
      </c>
      <c r="AO22" s="517" t="e">
        <f>'OUT - ACC - Ops Kantor'!#REF!</f>
        <v>#REF!</v>
      </c>
      <c r="AP22" s="517" t="e">
        <f>'OUT - ACC - Ops Kantor'!#REF!</f>
        <v>#REF!</v>
      </c>
      <c r="AQ22" s="517" t="e">
        <f>'OUT - ACC - Ops Kantor'!#REF!</f>
        <v>#REF!</v>
      </c>
      <c r="AR22" s="517" t="e">
        <f>'OUT - ACC - Ops Kantor'!#REF!</f>
        <v>#REF!</v>
      </c>
      <c r="AS22" s="517" t="e">
        <f>'OUT - ACC - Ops Kantor'!#REF!</f>
        <v>#REF!</v>
      </c>
      <c r="AT22" s="517" t="e">
        <f>'OUT - ACC - Ops Kantor'!#REF!</f>
        <v>#REF!</v>
      </c>
      <c r="AU22" s="517" t="e">
        <f>'OUT - ACC - Ops Kantor'!#REF!</f>
        <v>#REF!</v>
      </c>
      <c r="AV22" s="517" t="e">
        <f>'OUT - ACC - Ops Kantor'!#REF!</f>
        <v>#REF!</v>
      </c>
      <c r="AW22" s="517" t="e">
        <f>'OUT - ACC - Ops Kantor'!#REF!</f>
        <v>#REF!</v>
      </c>
      <c r="AX22" s="517" t="e">
        <f>'OUT - ACC - Ops Kantor'!#REF!</f>
        <v>#REF!</v>
      </c>
      <c r="AY22" s="520" t="e">
        <f t="shared" si="2"/>
        <v>#REF!</v>
      </c>
    </row>
    <row r="23" spans="1:51" ht="13.5" customHeight="1">
      <c r="A23" s="125" t="s">
        <v>46</v>
      </c>
      <c r="B23" s="122" t="s">
        <v>47</v>
      </c>
      <c r="C23" s="433">
        <f>'OUT - CF.12 Ops All Dept'!DT80</f>
        <v>0</v>
      </c>
      <c r="D23" s="433">
        <f>'OUT - CF.12 Ops All Dept'!DU80</f>
        <v>0</v>
      </c>
      <c r="E23" s="433">
        <f>'OUT - CF.12 Ops All Dept'!DV80</f>
        <v>0</v>
      </c>
      <c r="F23" s="433">
        <f>'OUT - CF.12 Ops All Dept'!DW80</f>
        <v>0</v>
      </c>
      <c r="G23" s="433">
        <f>'OUT - CF.12 Ops All Dept'!DX80</f>
        <v>0</v>
      </c>
      <c r="H23" s="433">
        <f>'OUT - CF.12 Ops All Dept'!DY80</f>
        <v>0</v>
      </c>
      <c r="I23" s="433">
        <f>'OUT - CF.12 Ops All Dept'!DZ80</f>
        <v>0</v>
      </c>
      <c r="J23" s="433">
        <f>'OUT - CF.12 Ops All Dept'!EA80</f>
        <v>0</v>
      </c>
      <c r="K23" s="433">
        <f>'OUT - CF.12 Ops All Dept'!EB80</f>
        <v>0</v>
      </c>
      <c r="L23" s="433">
        <f>'OUT - CF.12 Ops All Dept'!EC80</f>
        <v>0</v>
      </c>
      <c r="M23" s="433">
        <f>'OUT - CF.12 Ops All Dept'!ED80</f>
        <v>0</v>
      </c>
      <c r="N23" s="433">
        <f>'OUT - CF.12 Ops All Dept'!EE80</f>
        <v>68474531</v>
      </c>
      <c r="O23" s="433">
        <f>'OUT - CF.12 Ops All Dept'!EF80</f>
        <v>0</v>
      </c>
      <c r="P23" s="433">
        <f>'OUT - CF.12 Ops All Dept'!EG80</f>
        <v>0</v>
      </c>
      <c r="Q23" s="433">
        <f>'OUT - CF.12 Ops All Dept'!EH80</f>
        <v>0</v>
      </c>
      <c r="R23" s="433">
        <f>'OUT - CF.12 Ops All Dept'!EI80</f>
        <v>0</v>
      </c>
      <c r="S23" s="433">
        <f>'OUT - CF.12 Ops All Dept'!EJ80</f>
        <v>2500000</v>
      </c>
      <c r="T23" s="433">
        <f>'OUT - CF.12 Ops All Dept'!EK80</f>
        <v>0</v>
      </c>
      <c r="U23" s="433">
        <f>'OUT - CF.12 Ops All Dept'!EL80</f>
        <v>0</v>
      </c>
      <c r="V23" s="433">
        <f>'OUT - CF.12 Ops All Dept'!EM80</f>
        <v>0</v>
      </c>
      <c r="W23" s="433">
        <f>'OUT - CF.12 Ops All Dept'!EN80</f>
        <v>0</v>
      </c>
      <c r="X23" s="433">
        <f>'OUT - CF.12 Ops All Dept'!EO80</f>
        <v>0</v>
      </c>
      <c r="Y23" s="433">
        <f>'OUT - CF.12 Ops All Dept'!EP80</f>
        <v>0</v>
      </c>
      <c r="Z23" s="433">
        <f>'OUT - CF.12 Ops All Dept'!EQ80</f>
        <v>4100000</v>
      </c>
      <c r="AA23" s="433">
        <f>'OUT - CF.12 Ops All Dept'!ER80</f>
        <v>0</v>
      </c>
      <c r="AB23" s="433">
        <f>'OUT - CF.12 Ops All Dept'!ES80</f>
        <v>600000</v>
      </c>
      <c r="AC23" s="433">
        <f>'OUT - CF.12 Ops All Dept'!ET80</f>
        <v>0</v>
      </c>
      <c r="AD23" s="433">
        <f>'OUT - CF.12 Ops All Dept'!EU80</f>
        <v>0</v>
      </c>
      <c r="AE23" s="433">
        <f>'OUT - CF.12 Ops All Dept'!EV80</f>
        <v>0</v>
      </c>
      <c r="AF23" s="433">
        <f>'OUT - CF.12 Ops All Dept'!EW80</f>
        <v>0</v>
      </c>
      <c r="AG23" s="433">
        <f>'OUT - CF.12 Ops All Dept'!EX80</f>
        <v>0</v>
      </c>
      <c r="AH23" s="433">
        <f>'OUT - CF.12 Ops All Dept'!EY80</f>
        <v>0</v>
      </c>
      <c r="AI23" s="433">
        <f>'OUT - CF.12 Ops All Dept'!EZ80</f>
        <v>0</v>
      </c>
      <c r="AJ23" s="433">
        <f>'OUT - CF.12 Ops All Dept'!FA80</f>
        <v>0</v>
      </c>
      <c r="AK23" s="433">
        <f>'OUT - CF.12 Ops All Dept'!FB80</f>
        <v>0</v>
      </c>
      <c r="AL23" s="433">
        <f>'OUT - CF.12 Ops All Dept'!FC80</f>
        <v>0</v>
      </c>
      <c r="AM23" s="433">
        <f>'OUT - CF.12 Ops All Dept'!FD80</f>
        <v>0</v>
      </c>
      <c r="AN23" s="433">
        <f>'OUT - CF.12 Ops All Dept'!FE80</f>
        <v>50000000</v>
      </c>
      <c r="AO23" s="433">
        <f>'OUT - CF.12 Ops All Dept'!FF80</f>
        <v>0</v>
      </c>
      <c r="AP23" s="433">
        <f>'OUT - CF.12 Ops All Dept'!FG80</f>
        <v>0</v>
      </c>
      <c r="AQ23" s="433">
        <f>'OUT - CF.12 Ops All Dept'!FH80</f>
        <v>0</v>
      </c>
      <c r="AR23" s="433">
        <f>'OUT - CF.12 Ops All Dept'!FI80</f>
        <v>0</v>
      </c>
      <c r="AS23" s="433">
        <f>'OUT - CF.12 Ops All Dept'!FJ80</f>
        <v>0</v>
      </c>
      <c r="AT23" s="433">
        <f>'OUT - CF.12 Ops All Dept'!FK80</f>
        <v>0</v>
      </c>
      <c r="AU23" s="433">
        <f>'OUT - CF.12 Ops All Dept'!FL80</f>
        <v>68474531</v>
      </c>
      <c r="AV23" s="433">
        <f>'OUT - CF.12 Ops All Dept'!FM80</f>
        <v>0</v>
      </c>
      <c r="AW23" s="433">
        <f>'OUT - CF.12 Ops All Dept'!FN80</f>
        <v>0</v>
      </c>
      <c r="AX23" s="433">
        <f>'OUT - CF.12 Ops All Dept'!FO80</f>
        <v>2500000</v>
      </c>
      <c r="AY23" s="520">
        <f t="shared" si="2"/>
        <v>196649062</v>
      </c>
    </row>
    <row r="24" spans="1:51">
      <c r="A24" s="125" t="s">
        <v>48</v>
      </c>
      <c r="B24" s="122" t="s">
        <v>49</v>
      </c>
      <c r="C24" s="433">
        <f>'OUT - CFC - Bunga &amp; Angsuran'!DX15</f>
        <v>0</v>
      </c>
      <c r="D24" s="433">
        <f>'OUT - CFC - Bunga &amp; Angsuran'!DY15</f>
        <v>0</v>
      </c>
      <c r="E24" s="433">
        <f>'OUT - CFC - Bunga &amp; Angsuran'!DZ15</f>
        <v>0</v>
      </c>
      <c r="F24" s="433">
        <f>'OUT - CFC - Bunga &amp; Angsuran'!EA15</f>
        <v>0</v>
      </c>
      <c r="G24" s="433">
        <f>'OUT - CFC - Bunga &amp; Angsuran'!EB15</f>
        <v>0</v>
      </c>
      <c r="H24" s="433">
        <f>'OUT - CFC - Bunga &amp; Angsuran'!EC15</f>
        <v>0</v>
      </c>
      <c r="I24" s="433">
        <f>'OUT - CFC - Bunga &amp; Angsuran'!ED15</f>
        <v>0</v>
      </c>
      <c r="J24" s="433">
        <f>'OUT - CFC - Bunga &amp; Angsuran'!EE15</f>
        <v>0</v>
      </c>
      <c r="K24" s="433">
        <f>'OUT - CFC - Bunga &amp; Angsuran'!EF15</f>
        <v>0</v>
      </c>
      <c r="L24" s="433">
        <f>'OUT - CFC - Bunga &amp; Angsuran'!EG15</f>
        <v>0</v>
      </c>
      <c r="M24" s="433">
        <f>'OUT - CFC - Bunga &amp; Angsuran'!EH15</f>
        <v>0</v>
      </c>
      <c r="N24" s="433">
        <f>'OUT - CFC - Bunga &amp; Angsuran'!EI15</f>
        <v>0</v>
      </c>
      <c r="O24" s="433">
        <f>'OUT - CFC - Bunga &amp; Angsuran'!EJ15</f>
        <v>0</v>
      </c>
      <c r="P24" s="433">
        <f>'OUT - CFC - Bunga &amp; Angsuran'!EK15</f>
        <v>0</v>
      </c>
      <c r="Q24" s="433">
        <f>'OUT - CFC - Bunga &amp; Angsuran'!EL15</f>
        <v>0</v>
      </c>
      <c r="R24" s="433">
        <f>'OUT - CFC - Bunga &amp; Angsuran'!EM15</f>
        <v>0</v>
      </c>
      <c r="S24" s="433">
        <f>'OUT - CFC - Bunga &amp; Angsuran'!EN15</f>
        <v>0</v>
      </c>
      <c r="T24" s="433">
        <f>'OUT - CFC - Bunga &amp; Angsuran'!EO15</f>
        <v>0</v>
      </c>
      <c r="U24" s="433">
        <f>'OUT - CFC - Bunga &amp; Angsuran'!EP15</f>
        <v>0</v>
      </c>
      <c r="V24" s="433">
        <f>'OUT - CFC - Bunga &amp; Angsuran'!EQ15</f>
        <v>0</v>
      </c>
      <c r="W24" s="433">
        <f>'OUT - CFC - Bunga &amp; Angsuran'!ER15</f>
        <v>0</v>
      </c>
      <c r="X24" s="433">
        <f>'OUT - CFC - Bunga &amp; Angsuran'!ES15</f>
        <v>0</v>
      </c>
      <c r="Y24" s="433">
        <f>'OUT - CFC - Bunga &amp; Angsuran'!ET15</f>
        <v>0</v>
      </c>
      <c r="Z24" s="433">
        <f>'OUT - CFC - Bunga &amp; Angsuran'!EU15</f>
        <v>0</v>
      </c>
      <c r="AA24" s="433">
        <f>'OUT - CFC - Bunga &amp; Angsuran'!EV15</f>
        <v>0</v>
      </c>
      <c r="AB24" s="433">
        <f>'OUT - CFC - Bunga &amp; Angsuran'!EW15</f>
        <v>0</v>
      </c>
      <c r="AC24" s="433">
        <f>'OUT - CFC - Bunga &amp; Angsuran'!EX15</f>
        <v>0</v>
      </c>
      <c r="AD24" s="433">
        <f>'OUT - CFC - Bunga &amp; Angsuran'!EY15</f>
        <v>0</v>
      </c>
      <c r="AE24" s="433">
        <f>'OUT - CFC - Bunga &amp; Angsuran'!EZ15</f>
        <v>0</v>
      </c>
      <c r="AF24" s="433">
        <f>'OUT - CFC - Bunga &amp; Angsuran'!FA15</f>
        <v>0</v>
      </c>
      <c r="AG24" s="433">
        <f>'OUT - CFC - Bunga &amp; Angsuran'!FB15</f>
        <v>0</v>
      </c>
      <c r="AH24" s="433">
        <f>'OUT - CFC - Bunga &amp; Angsuran'!FC15</f>
        <v>0</v>
      </c>
      <c r="AI24" s="433">
        <f>'OUT - CFC - Bunga &amp; Angsuran'!FD15</f>
        <v>0</v>
      </c>
      <c r="AJ24" s="433">
        <f>'OUT - CFC - Bunga &amp; Angsuran'!FE15</f>
        <v>0</v>
      </c>
      <c r="AK24" s="433">
        <f>'OUT - CFC - Bunga &amp; Angsuran'!FF15</f>
        <v>0</v>
      </c>
      <c r="AL24" s="433">
        <f>'OUT - CFC - Bunga &amp; Angsuran'!FG15</f>
        <v>0</v>
      </c>
      <c r="AM24" s="433">
        <f>'OUT - CFC - Bunga &amp; Angsuran'!FH15</f>
        <v>0</v>
      </c>
      <c r="AN24" s="433">
        <f>'OUT - CFC - Bunga &amp; Angsuran'!FI15</f>
        <v>0</v>
      </c>
      <c r="AO24" s="433">
        <f>'OUT - CFC - Bunga &amp; Angsuran'!FJ15</f>
        <v>0</v>
      </c>
      <c r="AP24" s="433">
        <f>'OUT - CFC - Bunga &amp; Angsuran'!FK15</f>
        <v>0</v>
      </c>
      <c r="AQ24" s="433">
        <f>'OUT - CFC - Bunga &amp; Angsuran'!FL15</f>
        <v>0</v>
      </c>
      <c r="AR24" s="433">
        <f>'OUT - CFC - Bunga &amp; Angsuran'!FM15</f>
        <v>0</v>
      </c>
      <c r="AS24" s="433">
        <f>'OUT - CFC - Bunga &amp; Angsuran'!FN15</f>
        <v>0</v>
      </c>
      <c r="AT24" s="433">
        <f>'OUT - CFC - Bunga &amp; Angsuran'!FO15</f>
        <v>0</v>
      </c>
      <c r="AU24" s="433">
        <f>'OUT - CFC - Bunga &amp; Angsuran'!FP15</f>
        <v>0</v>
      </c>
      <c r="AV24" s="433">
        <f>'OUT - CFC - Bunga &amp; Angsuran'!FQ15</f>
        <v>0</v>
      </c>
      <c r="AW24" s="433">
        <f>'OUT - CFC - Bunga &amp; Angsuran'!FR15</f>
        <v>0</v>
      </c>
      <c r="AX24" s="433">
        <f>'OUT - CFC - Bunga &amp; Angsuran'!FS15</f>
        <v>0</v>
      </c>
      <c r="AY24" s="520">
        <f t="shared" si="2"/>
        <v>0</v>
      </c>
    </row>
    <row r="25" spans="1:51">
      <c r="A25" s="423" t="s">
        <v>50</v>
      </c>
      <c r="B25" s="122" t="s">
        <v>51</v>
      </c>
      <c r="C25" s="433" t="e">
        <f>'OUT - TEP - Cost Of Revenue'!#REF!</f>
        <v>#REF!</v>
      </c>
      <c r="D25" s="433" t="e">
        <f>'OUT - TEP - Cost Of Revenue'!#REF!</f>
        <v>#REF!</v>
      </c>
      <c r="E25" s="433" t="e">
        <f>'OUT - TEP - Cost Of Revenue'!#REF!</f>
        <v>#REF!</v>
      </c>
      <c r="F25" s="433" t="e">
        <f>'OUT - TEP - Cost Of Revenue'!#REF!</f>
        <v>#REF!</v>
      </c>
      <c r="G25" s="433" t="e">
        <f>'OUT - TEP - Cost Of Revenue'!#REF!</f>
        <v>#REF!</v>
      </c>
      <c r="H25" s="433" t="e">
        <f>'OUT - TEP - Cost Of Revenue'!#REF!</f>
        <v>#REF!</v>
      </c>
      <c r="I25" s="433" t="e">
        <f>'OUT - TEP - Cost Of Revenue'!#REF!</f>
        <v>#REF!</v>
      </c>
      <c r="J25" s="433" t="e">
        <f>'OUT - TEP - Cost Of Revenue'!#REF!</f>
        <v>#REF!</v>
      </c>
      <c r="K25" s="433" t="e">
        <f>'OUT - TEP - Cost Of Revenue'!#REF!</f>
        <v>#REF!</v>
      </c>
      <c r="L25" s="519" t="e">
        <f>'OUT - TEP - Cost Of Revenue'!#REF!</f>
        <v>#REF!</v>
      </c>
      <c r="M25" s="433" t="e">
        <f>'OUT - TEP - Cost Of Revenue'!#REF!</f>
        <v>#REF!</v>
      </c>
      <c r="N25" s="433" t="e">
        <f>'OUT - TEP - Cost Of Revenue'!#REF!</f>
        <v>#REF!</v>
      </c>
      <c r="O25" s="433" t="e">
        <f>'OUT - TEP - Cost Of Revenue'!#REF!</f>
        <v>#REF!</v>
      </c>
      <c r="P25" s="433" t="e">
        <f>'OUT - TEP - Cost Of Revenue'!#REF!</f>
        <v>#REF!</v>
      </c>
      <c r="Q25" s="433" t="e">
        <f>'OUT - TEP - Cost Of Revenue'!#REF!</f>
        <v>#REF!</v>
      </c>
      <c r="R25" s="433" t="e">
        <f>'OUT - TEP - Cost Of Revenue'!#REF!</f>
        <v>#REF!</v>
      </c>
      <c r="S25" s="433" t="e">
        <f>'OUT - TEP - Cost Of Revenue'!#REF!</f>
        <v>#REF!</v>
      </c>
      <c r="T25" s="433" t="e">
        <f>'OUT - TEP - Cost Of Revenue'!#REF!</f>
        <v>#REF!</v>
      </c>
      <c r="U25" s="433" t="e">
        <f>'OUT - TEP - Cost Of Revenue'!#REF!</f>
        <v>#REF!</v>
      </c>
      <c r="V25" s="433" t="e">
        <f>'OUT - TEP - Cost Of Revenue'!#REF!</f>
        <v>#REF!</v>
      </c>
      <c r="W25" s="433" t="e">
        <f>'OUT - TEP - Cost Of Revenue'!#REF!</f>
        <v>#REF!</v>
      </c>
      <c r="X25" s="433" t="e">
        <f>'OUT - TEP - Cost Of Revenue'!#REF!</f>
        <v>#REF!</v>
      </c>
      <c r="Y25" s="433" t="e">
        <f>'OUT - TEP - Cost Of Revenue'!#REF!</f>
        <v>#REF!</v>
      </c>
      <c r="Z25" s="433" t="e">
        <f>'OUT - TEP - Cost Of Revenue'!#REF!</f>
        <v>#REF!</v>
      </c>
      <c r="AA25" s="433" t="e">
        <f>'OUT - TEP - Cost Of Revenue'!#REF!</f>
        <v>#REF!</v>
      </c>
      <c r="AB25" s="433" t="e">
        <f>'OUT - TEP - Cost Of Revenue'!#REF!</f>
        <v>#REF!</v>
      </c>
      <c r="AC25" s="433" t="e">
        <f>'OUT - TEP - Cost Of Revenue'!#REF!</f>
        <v>#REF!</v>
      </c>
      <c r="AD25" s="433" t="e">
        <f>'OUT - TEP - Cost Of Revenue'!#REF!</f>
        <v>#REF!</v>
      </c>
      <c r="AE25" s="433" t="e">
        <f>'OUT - TEP - Cost Of Revenue'!#REF!</f>
        <v>#REF!</v>
      </c>
      <c r="AF25" s="433" t="e">
        <f>'OUT - TEP - Cost Of Revenue'!#REF!</f>
        <v>#REF!</v>
      </c>
      <c r="AG25" s="433" t="e">
        <f>'OUT - TEP - Cost Of Revenue'!#REF!</f>
        <v>#REF!</v>
      </c>
      <c r="AH25" s="433" t="e">
        <f>'OUT - TEP - Cost Of Revenue'!#REF!</f>
        <v>#REF!</v>
      </c>
      <c r="AI25" s="433" t="e">
        <f>'OUT - TEP - Cost Of Revenue'!#REF!</f>
        <v>#REF!</v>
      </c>
      <c r="AJ25" s="433" t="e">
        <f>'OUT - TEP - Cost Of Revenue'!#REF!</f>
        <v>#REF!</v>
      </c>
      <c r="AK25" s="433" t="e">
        <f>'OUT - TEP - Cost Of Revenue'!#REF!</f>
        <v>#REF!</v>
      </c>
      <c r="AL25" s="433" t="e">
        <f>'OUT - TEP - Cost Of Revenue'!#REF!</f>
        <v>#REF!</v>
      </c>
      <c r="AM25" s="433" t="e">
        <f>'OUT - TEP - Cost Of Revenue'!#REF!</f>
        <v>#REF!</v>
      </c>
      <c r="AN25" s="433" t="e">
        <f>'OUT - TEP - Cost Of Revenue'!#REF!</f>
        <v>#REF!</v>
      </c>
      <c r="AO25" s="433" t="e">
        <f>'OUT - TEP - Cost Of Revenue'!#REF!</f>
        <v>#REF!</v>
      </c>
      <c r="AP25" s="433" t="e">
        <f>'OUT - TEP - Cost Of Revenue'!#REF!</f>
        <v>#REF!</v>
      </c>
      <c r="AQ25" s="433" t="e">
        <f>'OUT - TEP - Cost Of Revenue'!#REF!</f>
        <v>#REF!</v>
      </c>
      <c r="AR25" s="433" t="e">
        <f>'OUT - TEP - Cost Of Revenue'!#REF!</f>
        <v>#REF!</v>
      </c>
      <c r="AS25" s="433" t="e">
        <f>'OUT - TEP - Cost Of Revenue'!#REF!</f>
        <v>#REF!</v>
      </c>
      <c r="AT25" s="433" t="e">
        <f>'OUT - TEP - Cost Of Revenue'!#REF!</f>
        <v>#REF!</v>
      </c>
      <c r="AU25" s="433" t="e">
        <f>'OUT - TEP - Cost Of Revenue'!#REF!</f>
        <v>#REF!</v>
      </c>
      <c r="AV25" s="433" t="e">
        <f>'OUT - TEP - Cost Of Revenue'!#REF!</f>
        <v>#REF!</v>
      </c>
      <c r="AW25" s="433" t="e">
        <f>'OUT - TEP - Cost Of Revenue'!#REF!</f>
        <v>#REF!</v>
      </c>
      <c r="AX25" s="433" t="e">
        <f>'OUT - TEP - Cost Of Revenue'!#REF!</f>
        <v>#REF!</v>
      </c>
      <c r="AY25" s="520" t="e">
        <f t="shared" si="2"/>
        <v>#REF!</v>
      </c>
    </row>
    <row r="26" spans="1:51">
      <c r="A26" s="125" t="s">
        <v>52</v>
      </c>
      <c r="B26" s="122" t="s">
        <v>53</v>
      </c>
      <c r="C26" s="433" t="e">
        <f>'OUT - CFC - Hutang Usaha'!#REF!</f>
        <v>#REF!</v>
      </c>
      <c r="D26" s="433" t="e">
        <f>'OUT - CFC - Hutang Usaha'!#REF!</f>
        <v>#REF!</v>
      </c>
      <c r="E26" s="518">
        <f>'OUT - CFC - Hutang Usaha'!DX102</f>
        <v>0</v>
      </c>
      <c r="F26" s="518">
        <f>'OUT - CFC - Hutang Usaha'!DY102</f>
        <v>0</v>
      </c>
      <c r="G26" s="433">
        <f>'OUT - CFC - Hutang Usaha'!DZ102</f>
        <v>0</v>
      </c>
      <c r="H26" s="518">
        <f>'OUT - CFC - Hutang Usaha'!EA102</f>
        <v>0</v>
      </c>
      <c r="I26" s="433">
        <f>'OUT - CFC - Hutang Usaha'!EB102</f>
        <v>0</v>
      </c>
      <c r="J26" s="433">
        <f>'OUT - CFC - Hutang Usaha'!EC102</f>
        <v>0</v>
      </c>
      <c r="K26" s="433">
        <f>'OUT - CFC - Hutang Usaha'!ED102</f>
        <v>0</v>
      </c>
      <c r="L26" s="433">
        <f>'OUT - CFC - Hutang Usaha'!EE102</f>
        <v>0</v>
      </c>
      <c r="M26" s="433">
        <f>'OUT - CFC - Hutang Usaha'!EF102</f>
        <v>0</v>
      </c>
      <c r="N26" s="433">
        <f>'OUT - CFC - Hutang Usaha'!EG102</f>
        <v>0</v>
      </c>
      <c r="O26" s="433">
        <f>'OUT - CFC - Hutang Usaha'!EH102</f>
        <v>0</v>
      </c>
      <c r="P26" s="433">
        <f>'OUT - CFC - Hutang Usaha'!EI102</f>
        <v>0</v>
      </c>
      <c r="Q26" s="433">
        <f>'OUT - CFC - Hutang Usaha'!EJ102</f>
        <v>0</v>
      </c>
      <c r="R26" s="433">
        <f>'OUT - CFC - Hutang Usaha'!EK102</f>
        <v>0</v>
      </c>
      <c r="S26" s="433">
        <f>'OUT - CFC - Hutang Usaha'!EL102</f>
        <v>0</v>
      </c>
      <c r="T26" s="433">
        <f>'OUT - CFC - Hutang Usaha'!EM102</f>
        <v>0</v>
      </c>
      <c r="U26" s="433">
        <f>'OUT - CFC - Hutang Usaha'!EN102</f>
        <v>0</v>
      </c>
      <c r="V26" s="433">
        <f>'OUT - CFC - Hutang Usaha'!EO102</f>
        <v>0</v>
      </c>
      <c r="W26" s="433">
        <f>'OUT - CFC - Hutang Usaha'!EP102</f>
        <v>0</v>
      </c>
      <c r="X26" s="433">
        <f>'OUT - CFC - Hutang Usaha'!EQ102</f>
        <v>0</v>
      </c>
      <c r="Y26" s="433">
        <f>'OUT - CFC - Hutang Usaha'!ER102</f>
        <v>0</v>
      </c>
      <c r="Z26" s="433">
        <f>'OUT - CFC - Hutang Usaha'!ES102</f>
        <v>0</v>
      </c>
      <c r="AA26" s="433">
        <f>'OUT - CFC - Hutang Usaha'!ET102</f>
        <v>0</v>
      </c>
      <c r="AB26" s="433">
        <f>'OUT - CFC - Hutang Usaha'!EU102</f>
        <v>0</v>
      </c>
      <c r="AC26" s="433">
        <f>'OUT - CFC - Hutang Usaha'!EV102</f>
        <v>0</v>
      </c>
      <c r="AD26" s="433">
        <f>'OUT - CFC - Hutang Usaha'!EW102</f>
        <v>0</v>
      </c>
      <c r="AE26" s="433">
        <f>'OUT - CFC - Hutang Usaha'!EX102</f>
        <v>0</v>
      </c>
      <c r="AF26" s="433">
        <f>'OUT - CFC - Hutang Usaha'!EY102</f>
        <v>0</v>
      </c>
      <c r="AG26" s="433">
        <f>'OUT - CFC - Hutang Usaha'!EZ102</f>
        <v>0</v>
      </c>
      <c r="AH26" s="433">
        <f>'OUT - CFC - Hutang Usaha'!FA102</f>
        <v>0</v>
      </c>
      <c r="AI26" s="433">
        <f>'OUT - CFC - Hutang Usaha'!FB102</f>
        <v>0</v>
      </c>
      <c r="AJ26" s="433">
        <f>'OUT - CFC - Hutang Usaha'!FC102</f>
        <v>0</v>
      </c>
      <c r="AK26" s="433">
        <f>'OUT - CFC - Hutang Usaha'!FD102</f>
        <v>0</v>
      </c>
      <c r="AL26" s="433">
        <f>'OUT - CFC - Hutang Usaha'!FE102</f>
        <v>0</v>
      </c>
      <c r="AM26" s="433">
        <f>'OUT - CFC - Hutang Usaha'!FF102</f>
        <v>0</v>
      </c>
      <c r="AN26" s="433">
        <f>'OUT - CFC - Hutang Usaha'!FG102</f>
        <v>0</v>
      </c>
      <c r="AO26" s="433">
        <f>'OUT - CFC - Hutang Usaha'!FH102</f>
        <v>0</v>
      </c>
      <c r="AP26" s="433">
        <f>'OUT - CFC - Hutang Usaha'!FI102</f>
        <v>0</v>
      </c>
      <c r="AQ26" s="433">
        <f>'OUT - CFC - Hutang Usaha'!FJ102</f>
        <v>0</v>
      </c>
      <c r="AR26" s="433">
        <f>'OUT - CFC - Hutang Usaha'!FK102</f>
        <v>0</v>
      </c>
      <c r="AS26" s="433">
        <f>'OUT - CFC - Hutang Usaha'!FL102</f>
        <v>0</v>
      </c>
      <c r="AT26" s="433">
        <f>'OUT - CFC - Hutang Usaha'!FM102</f>
        <v>0</v>
      </c>
      <c r="AU26" s="433">
        <f>'OUT - CFC - Hutang Usaha'!FN102</f>
        <v>0</v>
      </c>
      <c r="AV26" s="433">
        <f>'OUT - CFC - Hutang Usaha'!FO102</f>
        <v>0</v>
      </c>
      <c r="AW26" s="433">
        <f>'OUT - CFC - Hutang Usaha'!FP102</f>
        <v>0</v>
      </c>
      <c r="AX26" s="433">
        <f>'OUT - CFC - Hutang Usaha'!FQ102</f>
        <v>0</v>
      </c>
      <c r="AY26" s="520" t="e">
        <f t="shared" si="2"/>
        <v>#REF!</v>
      </c>
    </row>
    <row r="27" spans="1:51">
      <c r="A27" s="125" t="s">
        <v>54</v>
      </c>
      <c r="B27" s="122" t="s">
        <v>55</v>
      </c>
      <c r="C27" s="433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  <c r="AB27" s="433"/>
      <c r="AC27" s="433"/>
      <c r="AD27" s="433"/>
      <c r="AE27" s="433"/>
      <c r="AF27" s="433"/>
      <c r="AG27" s="433"/>
      <c r="AH27" s="433"/>
      <c r="AI27" s="433"/>
      <c r="AJ27" s="433"/>
      <c r="AK27" s="433"/>
      <c r="AL27" s="433"/>
      <c r="AM27" s="433"/>
      <c r="AN27" s="433"/>
      <c r="AO27" s="433"/>
      <c r="AP27" s="433"/>
      <c r="AQ27" s="433"/>
      <c r="AR27" s="433"/>
      <c r="AS27" s="433"/>
      <c r="AT27" s="433"/>
      <c r="AU27" s="433"/>
      <c r="AV27" s="433"/>
      <c r="AW27" s="433"/>
      <c r="AX27" s="433"/>
      <c r="AY27" s="502">
        <f t="shared" si="2"/>
        <v>0</v>
      </c>
    </row>
    <row r="28" spans="1:51">
      <c r="A28" s="423" t="s">
        <v>56</v>
      </c>
      <c r="B28" s="122" t="s">
        <v>57</v>
      </c>
      <c r="C28" s="433"/>
      <c r="D28" s="433"/>
      <c r="E28" s="433"/>
      <c r="F28" s="433"/>
      <c r="G28" s="433"/>
      <c r="H28" s="433"/>
      <c r="I28" s="433"/>
      <c r="J28" s="433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  <c r="AB28" s="433"/>
      <c r="AC28" s="433"/>
      <c r="AD28" s="433"/>
      <c r="AE28" s="433"/>
      <c r="AF28" s="433"/>
      <c r="AG28" s="433"/>
      <c r="AH28" s="433"/>
      <c r="AI28" s="433"/>
      <c r="AJ28" s="433"/>
      <c r="AK28" s="433"/>
      <c r="AL28" s="433"/>
      <c r="AM28" s="433"/>
      <c r="AN28" s="433"/>
      <c r="AO28" s="433"/>
      <c r="AP28" s="433"/>
      <c r="AQ28" s="433"/>
      <c r="AR28" s="433"/>
      <c r="AS28" s="433"/>
      <c r="AT28" s="433"/>
      <c r="AU28" s="433"/>
      <c r="AV28" s="433"/>
      <c r="AW28" s="433"/>
      <c r="AX28" s="433"/>
      <c r="AY28" s="502">
        <f t="shared" si="2"/>
        <v>0</v>
      </c>
    </row>
    <row r="29" spans="1:51">
      <c r="A29" s="125" t="s">
        <v>58</v>
      </c>
      <c r="B29" s="122" t="s">
        <v>34</v>
      </c>
      <c r="C29" s="433"/>
      <c r="D29" s="433"/>
      <c r="E29" s="433"/>
      <c r="F29" s="433"/>
      <c r="G29" s="433"/>
      <c r="H29" s="433"/>
      <c r="I29" s="433"/>
      <c r="J29" s="433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  <c r="AB29" s="433"/>
      <c r="AC29" s="433"/>
      <c r="AD29" s="433"/>
      <c r="AE29" s="433"/>
      <c r="AF29" s="433"/>
      <c r="AG29" s="433"/>
      <c r="AH29" s="433"/>
      <c r="AI29" s="433"/>
      <c r="AJ29" s="433"/>
      <c r="AK29" s="433"/>
      <c r="AL29" s="433"/>
      <c r="AM29" s="433"/>
      <c r="AN29" s="433"/>
      <c r="AO29" s="433"/>
      <c r="AP29" s="433"/>
      <c r="AQ29" s="433"/>
      <c r="AR29" s="433"/>
      <c r="AS29" s="433"/>
      <c r="AT29" s="433"/>
      <c r="AU29" s="433"/>
      <c r="AV29" s="433"/>
      <c r="AW29" s="433"/>
      <c r="AX29" s="433"/>
      <c r="AY29" s="502">
        <f t="shared" si="2"/>
        <v>0</v>
      </c>
    </row>
    <row r="30" spans="1:51">
      <c r="A30" s="125"/>
      <c r="B30" s="122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502">
        <f t="shared" si="2"/>
        <v>0</v>
      </c>
    </row>
    <row r="31" spans="1:51">
      <c r="A31" s="125"/>
      <c r="B31" s="122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502">
        <f t="shared" si="2"/>
        <v>0</v>
      </c>
    </row>
    <row r="32" spans="1:51">
      <c r="A32" s="432" t="s">
        <v>59</v>
      </c>
      <c r="B32" s="378"/>
      <c r="C32" s="479"/>
      <c r="D32" s="479" t="e">
        <f t="shared" ref="D32:AY32" si="3">SUM(D19:D31)</f>
        <v>#REF!</v>
      </c>
      <c r="E32" s="479" t="e">
        <f t="shared" si="3"/>
        <v>#REF!</v>
      </c>
      <c r="F32" s="479" t="e">
        <f t="shared" si="3"/>
        <v>#REF!</v>
      </c>
      <c r="G32" s="479" t="e">
        <f t="shared" si="3"/>
        <v>#REF!</v>
      </c>
      <c r="H32" s="479" t="e">
        <f t="shared" si="3"/>
        <v>#REF!</v>
      </c>
      <c r="I32" s="479" t="e">
        <f t="shared" si="3"/>
        <v>#REF!</v>
      </c>
      <c r="J32" s="479" t="e">
        <f t="shared" si="3"/>
        <v>#REF!</v>
      </c>
      <c r="K32" s="479" t="e">
        <f t="shared" si="3"/>
        <v>#REF!</v>
      </c>
      <c r="L32" s="479" t="e">
        <f t="shared" si="3"/>
        <v>#REF!</v>
      </c>
      <c r="M32" s="479" t="e">
        <f t="shared" si="3"/>
        <v>#REF!</v>
      </c>
      <c r="N32" s="479" t="e">
        <f t="shared" si="3"/>
        <v>#REF!</v>
      </c>
      <c r="O32" s="479" t="e">
        <f t="shared" si="3"/>
        <v>#REF!</v>
      </c>
      <c r="P32" s="479" t="e">
        <f t="shared" si="3"/>
        <v>#REF!</v>
      </c>
      <c r="Q32" s="479" t="e">
        <f t="shared" si="3"/>
        <v>#REF!</v>
      </c>
      <c r="R32" s="479" t="e">
        <f t="shared" si="3"/>
        <v>#REF!</v>
      </c>
      <c r="S32" s="479" t="e">
        <f t="shared" si="3"/>
        <v>#REF!</v>
      </c>
      <c r="T32" s="479" t="e">
        <f t="shared" si="3"/>
        <v>#REF!</v>
      </c>
      <c r="U32" s="479" t="e">
        <f t="shared" si="3"/>
        <v>#REF!</v>
      </c>
      <c r="V32" s="479" t="e">
        <f t="shared" si="3"/>
        <v>#REF!</v>
      </c>
      <c r="W32" s="479" t="e">
        <f t="shared" si="3"/>
        <v>#REF!</v>
      </c>
      <c r="X32" s="479" t="e">
        <f t="shared" si="3"/>
        <v>#REF!</v>
      </c>
      <c r="Y32" s="479" t="e">
        <f t="shared" si="3"/>
        <v>#REF!</v>
      </c>
      <c r="Z32" s="479" t="e">
        <f t="shared" si="3"/>
        <v>#REF!</v>
      </c>
      <c r="AA32" s="479" t="e">
        <f t="shared" si="3"/>
        <v>#REF!</v>
      </c>
      <c r="AB32" s="479" t="e">
        <f t="shared" si="3"/>
        <v>#REF!</v>
      </c>
      <c r="AC32" s="479" t="e">
        <f t="shared" si="3"/>
        <v>#REF!</v>
      </c>
      <c r="AD32" s="479" t="e">
        <f t="shared" si="3"/>
        <v>#REF!</v>
      </c>
      <c r="AE32" s="479" t="e">
        <f t="shared" si="3"/>
        <v>#REF!</v>
      </c>
      <c r="AF32" s="479" t="e">
        <f t="shared" si="3"/>
        <v>#REF!</v>
      </c>
      <c r="AG32" s="479" t="e">
        <f t="shared" si="3"/>
        <v>#REF!</v>
      </c>
      <c r="AH32" s="479" t="e">
        <f t="shared" si="3"/>
        <v>#REF!</v>
      </c>
      <c r="AI32" s="479" t="e">
        <f t="shared" si="3"/>
        <v>#REF!</v>
      </c>
      <c r="AJ32" s="479" t="e">
        <f t="shared" si="3"/>
        <v>#REF!</v>
      </c>
      <c r="AK32" s="479" t="e">
        <f t="shared" si="3"/>
        <v>#REF!</v>
      </c>
      <c r="AL32" s="479" t="e">
        <f t="shared" si="3"/>
        <v>#REF!</v>
      </c>
      <c r="AM32" s="479" t="e">
        <f t="shared" si="3"/>
        <v>#REF!</v>
      </c>
      <c r="AN32" s="479" t="e">
        <f t="shared" si="3"/>
        <v>#REF!</v>
      </c>
      <c r="AO32" s="479" t="e">
        <f t="shared" si="3"/>
        <v>#REF!</v>
      </c>
      <c r="AP32" s="479" t="e">
        <f t="shared" si="3"/>
        <v>#REF!</v>
      </c>
      <c r="AQ32" s="479" t="e">
        <f t="shared" si="3"/>
        <v>#REF!</v>
      </c>
      <c r="AR32" s="479" t="e">
        <f t="shared" si="3"/>
        <v>#REF!</v>
      </c>
      <c r="AS32" s="479" t="e">
        <f t="shared" si="3"/>
        <v>#REF!</v>
      </c>
      <c r="AT32" s="479" t="e">
        <f t="shared" si="3"/>
        <v>#REF!</v>
      </c>
      <c r="AU32" s="479" t="e">
        <f t="shared" si="3"/>
        <v>#REF!</v>
      </c>
      <c r="AV32" s="479" t="e">
        <f t="shared" si="3"/>
        <v>#REF!</v>
      </c>
      <c r="AW32" s="479" t="e">
        <f t="shared" si="3"/>
        <v>#REF!</v>
      </c>
      <c r="AX32" s="479" t="e">
        <f t="shared" si="3"/>
        <v>#REF!</v>
      </c>
      <c r="AY32" s="480" t="e">
        <f t="shared" si="3"/>
        <v>#REF!</v>
      </c>
    </row>
    <row r="33" spans="1:51" s="384" customFormat="1">
      <c r="A33" s="382"/>
      <c r="B33" s="383"/>
      <c r="C33" s="491"/>
      <c r="D33" s="491"/>
      <c r="E33" s="491"/>
      <c r="F33" s="491"/>
      <c r="G33" s="491"/>
      <c r="H33" s="491"/>
      <c r="I33" s="491"/>
      <c r="J33" s="491"/>
      <c r="K33" s="491"/>
      <c r="L33" s="491"/>
      <c r="M33" s="491"/>
      <c r="N33" s="491"/>
      <c r="O33" s="491"/>
      <c r="P33" s="491"/>
      <c r="Q33" s="491"/>
      <c r="R33" s="491"/>
      <c r="S33" s="491"/>
      <c r="T33" s="491"/>
      <c r="U33" s="491"/>
      <c r="V33" s="491"/>
      <c r="W33" s="491"/>
      <c r="X33" s="491"/>
      <c r="Y33" s="491"/>
      <c r="Z33" s="491"/>
      <c r="AA33" s="491"/>
      <c r="AB33" s="491"/>
      <c r="AC33" s="491"/>
      <c r="AD33" s="491"/>
      <c r="AE33" s="491"/>
      <c r="AF33" s="491"/>
      <c r="AG33" s="491"/>
      <c r="AH33" s="491"/>
      <c r="AI33" s="491"/>
      <c r="AJ33" s="491"/>
      <c r="AK33" s="491"/>
      <c r="AL33" s="491"/>
      <c r="AM33" s="491"/>
      <c r="AN33" s="491"/>
      <c r="AO33" s="491"/>
      <c r="AP33" s="491"/>
      <c r="AQ33" s="491"/>
      <c r="AR33" s="491"/>
      <c r="AS33" s="491"/>
      <c r="AT33" s="491"/>
      <c r="AU33" s="491"/>
      <c r="AV33" s="491"/>
      <c r="AW33" s="491"/>
      <c r="AX33" s="491"/>
      <c r="AY33" s="502">
        <f t="shared" ref="AY33:AY40" si="4">SUM(C33:AX33)</f>
        <v>0</v>
      </c>
    </row>
    <row r="34" spans="1:51">
      <c r="A34" s="6" t="s">
        <v>60</v>
      </c>
      <c r="B34" s="481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  <c r="AI34" s="375"/>
      <c r="AJ34" s="375"/>
      <c r="AK34" s="375"/>
      <c r="AL34" s="375"/>
      <c r="AM34" s="375"/>
      <c r="AN34" s="375"/>
      <c r="AO34" s="375"/>
      <c r="AP34" s="375"/>
      <c r="AQ34" s="375"/>
      <c r="AR34" s="375"/>
      <c r="AS34" s="375"/>
      <c r="AT34" s="375"/>
      <c r="AU34" s="375"/>
      <c r="AV34" s="375"/>
      <c r="AW34" s="375"/>
      <c r="AX34" s="375"/>
      <c r="AY34" s="502">
        <f t="shared" si="4"/>
        <v>0</v>
      </c>
    </row>
    <row r="35" spans="1:51" ht="25.5">
      <c r="A35" s="126" t="s">
        <v>61</v>
      </c>
      <c r="B35" s="123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502">
        <f t="shared" si="4"/>
        <v>0</v>
      </c>
    </row>
    <row r="36" spans="1:51">
      <c r="A36" s="126" t="s">
        <v>62</v>
      </c>
      <c r="B36" s="123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502">
        <f t="shared" si="4"/>
        <v>0</v>
      </c>
    </row>
    <row r="37" spans="1:51">
      <c r="A37" s="126" t="s">
        <v>63</v>
      </c>
      <c r="B37" s="123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502">
        <f t="shared" si="4"/>
        <v>0</v>
      </c>
    </row>
    <row r="38" spans="1:51" ht="25.5">
      <c r="A38" s="126" t="s">
        <v>64</v>
      </c>
      <c r="B38" s="123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502">
        <f t="shared" si="4"/>
        <v>0</v>
      </c>
    </row>
    <row r="39" spans="1:51">
      <c r="A39" s="126" t="s">
        <v>65</v>
      </c>
      <c r="B39" s="123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502">
        <f t="shared" si="4"/>
        <v>0</v>
      </c>
    </row>
    <row r="40" spans="1:51">
      <c r="A40" s="126" t="s">
        <v>58</v>
      </c>
      <c r="B40" s="123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502">
        <f t="shared" si="4"/>
        <v>0</v>
      </c>
    </row>
    <row r="41" spans="1:51">
      <c r="A41" s="434" t="s">
        <v>66</v>
      </c>
      <c r="B41" s="379"/>
      <c r="C41" s="376"/>
      <c r="D41" s="376"/>
      <c r="E41" s="376"/>
      <c r="F41" s="376"/>
      <c r="G41" s="376"/>
      <c r="H41" s="376"/>
      <c r="I41" s="376"/>
      <c r="J41" s="376"/>
      <c r="K41" s="376"/>
      <c r="L41" s="376"/>
      <c r="M41" s="376"/>
      <c r="N41" s="376"/>
      <c r="O41" s="376"/>
      <c r="P41" s="376"/>
      <c r="Q41" s="376"/>
      <c r="R41" s="376"/>
      <c r="S41" s="376"/>
      <c r="T41" s="376"/>
      <c r="U41" s="376"/>
      <c r="V41" s="376"/>
      <c r="W41" s="376"/>
      <c r="X41" s="376"/>
      <c r="Y41" s="376"/>
      <c r="Z41" s="376"/>
      <c r="AA41" s="376"/>
      <c r="AB41" s="376"/>
      <c r="AC41" s="376"/>
      <c r="AD41" s="376"/>
      <c r="AE41" s="376"/>
      <c r="AF41" s="376"/>
      <c r="AG41" s="376"/>
      <c r="AH41" s="376"/>
      <c r="AI41" s="376"/>
      <c r="AJ41" s="376"/>
      <c r="AK41" s="376"/>
      <c r="AL41" s="376"/>
      <c r="AM41" s="376"/>
      <c r="AN41" s="376"/>
      <c r="AO41" s="376"/>
      <c r="AP41" s="376"/>
      <c r="AQ41" s="376"/>
      <c r="AR41" s="376"/>
      <c r="AS41" s="376"/>
      <c r="AT41" s="376"/>
      <c r="AU41" s="376"/>
      <c r="AV41" s="376"/>
      <c r="AW41" s="376"/>
      <c r="AX41" s="376"/>
      <c r="AY41" s="501">
        <f ca="1">SUM(B41:B41:AY41)</f>
        <v>0</v>
      </c>
    </row>
    <row r="42" spans="1:51">
      <c r="A42" s="435"/>
      <c r="B42" s="229"/>
      <c r="AY42" s="477"/>
    </row>
    <row r="43" spans="1:51">
      <c r="A43" s="436" t="s">
        <v>67</v>
      </c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500">
        <f ca="1">SUM(B43:B43:AY43)</f>
        <v>0</v>
      </c>
    </row>
    <row r="44" spans="1:51">
      <c r="A44" s="6" t="s">
        <v>68</v>
      </c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502">
        <f t="shared" ref="AY44:AY50" si="5">SUM(C44:AX44)</f>
        <v>0</v>
      </c>
    </row>
    <row r="45" spans="1:51">
      <c r="A45" s="126" t="s">
        <v>69</v>
      </c>
      <c r="B45" s="43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502">
        <f t="shared" si="5"/>
        <v>0</v>
      </c>
    </row>
    <row r="46" spans="1:51">
      <c r="A46" s="126" t="s">
        <v>70</v>
      </c>
      <c r="B46" s="43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502">
        <f t="shared" si="5"/>
        <v>0</v>
      </c>
    </row>
    <row r="47" spans="1:51">
      <c r="A47" s="126" t="s">
        <v>71</v>
      </c>
      <c r="B47" s="43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502">
        <f t="shared" si="5"/>
        <v>0</v>
      </c>
    </row>
    <row r="48" spans="1:51">
      <c r="A48" s="126" t="s">
        <v>72</v>
      </c>
      <c r="B48" s="43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502">
        <f t="shared" si="5"/>
        <v>0</v>
      </c>
    </row>
    <row r="49" spans="1:51">
      <c r="A49" s="126" t="s">
        <v>73</v>
      </c>
      <c r="B49" s="43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502">
        <f t="shared" si="5"/>
        <v>0</v>
      </c>
    </row>
    <row r="50" spans="1:51">
      <c r="AY50" s="502">
        <f t="shared" si="5"/>
        <v>0</v>
      </c>
    </row>
    <row r="51" spans="1:51">
      <c r="A51" s="436" t="s">
        <v>74</v>
      </c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230"/>
      <c r="AX51" s="230"/>
      <c r="AY51" s="500">
        <f ca="1">SUM(B51:B51:AY51)</f>
        <v>0</v>
      </c>
    </row>
    <row r="52" spans="1:51">
      <c r="A52" s="6" t="s">
        <v>75</v>
      </c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502">
        <f>SUM(C52:AX52)</f>
        <v>0</v>
      </c>
    </row>
    <row r="53" spans="1:51" ht="13.5" customHeight="1">
      <c r="A53" s="126" t="s">
        <v>76</v>
      </c>
      <c r="B53" s="43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502">
        <f>SUM(C53:AX53)</f>
        <v>0</v>
      </c>
    </row>
    <row r="57" spans="1:51">
      <c r="A57" s="436" t="s">
        <v>74</v>
      </c>
    </row>
  </sheetData>
  <mergeCells count="2">
    <mergeCell ref="A1:B1"/>
    <mergeCell ref="A2:B2"/>
  </mergeCells>
  <phoneticPr fontId="10" type="noConversion"/>
  <conditionalFormatting sqref="B7 B10:AX10">
    <cfRule type="cellIs" dxfId="2" priority="22" stopIfTrue="1" operator="lessThanOrEqual">
      <formula>$B$7</formula>
    </cfRule>
  </conditionalFormatting>
  <dataValidations count="6">
    <dataValidation type="decimal" allowBlank="1" showInputMessage="1" sqref="B10:B15 B42:B49 E32:AY32 E33:AX33 B17:B40 C32:D33 C43:AX49 C12:AX16 C41:AX41 C18:AX29" xr:uid="{52B5AEDC-C972-4F97-9D76-54E8ECA76C90}">
      <formula1>-10000000</formula1>
      <formula2>10000000</formula2>
    </dataValidation>
    <dataValidation operator="greaterThanOrEqual" allowBlank="1" showInputMessage="1" showErrorMessage="1" error="Please enter a number greater than zero." sqref="B9" xr:uid="{0CEF0799-9E87-4CFE-AB74-DB5C52B761C5}"/>
    <dataValidation type="decimal" operator="lessThanOrEqual" allowBlank="1" showInputMessage="1" showErrorMessage="1" sqref="B41 B16" xr:uid="{75DC875B-3012-4097-9E4F-8D33A0B41196}">
      <formula1>10000000</formula1>
    </dataValidation>
    <dataValidation type="date" allowBlank="1" showInputMessage="1" showErrorMessage="1" error="Please enter a valid date." sqref="B6" xr:uid="{FDD7C79A-11E3-4102-A78D-B9D1E2A95A3E}">
      <formula1>1</formula1>
      <formula2>73415</formula2>
    </dataValidation>
    <dataValidation type="decimal" operator="lessThanOrEqual" allowBlank="1" showInputMessage="1" sqref="B7 C10:AX10" xr:uid="{2D09F87A-F794-4C5E-974E-DFF10BD77ABB}">
      <formula1>10000000</formula1>
    </dataValidation>
    <dataValidation type="decimal" allowBlank="1" showInputMessage="1" prompt="Enter materials and supplies included in cost of goods sold (COGS)." sqref="C21:AX29" xr:uid="{604584D7-41FD-40D7-93B1-1E60589C5337}">
      <formula1>-10000000</formula1>
      <formula2>10000000</formula2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E213-44EB-467F-BEE4-7EABEE24D0B4}">
  <sheetPr>
    <tabColor rgb="FF00B0F0"/>
  </sheetPr>
  <dimension ref="A1:S67"/>
  <sheetViews>
    <sheetView zoomScale="90" zoomScaleNormal="9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D3" sqref="D3"/>
    </sheetView>
  </sheetViews>
  <sheetFormatPr defaultColWidth="8" defaultRowHeight="12.75" customHeight="1"/>
  <cols>
    <col min="1" max="1" width="36.140625" style="9" customWidth="1"/>
    <col min="2" max="5" width="14.140625" style="1" customWidth="1"/>
    <col min="6" max="6" width="16.5703125" style="1" customWidth="1"/>
    <col min="7" max="7" width="17.7109375" style="1" customWidth="1"/>
    <col min="8" max="8" width="14.140625" style="1" customWidth="1"/>
    <col min="9" max="9" width="18.140625" style="1" customWidth="1"/>
    <col min="10" max="16" width="14.140625" style="1" customWidth="1"/>
    <col min="17" max="17" width="15.7109375" style="1" customWidth="1"/>
    <col min="18" max="18" width="15.85546875" style="1" customWidth="1"/>
    <col min="19" max="19" width="17.7109375" style="1" customWidth="1"/>
    <col min="20" max="16384" width="8" style="1"/>
  </cols>
  <sheetData>
    <row r="1" spans="1:19" ht="22.5" customHeight="1">
      <c r="A1" s="765" t="s">
        <v>15</v>
      </c>
      <c r="B1" s="765"/>
    </row>
    <row r="2" spans="1:19">
      <c r="A2" s="765" t="s">
        <v>16</v>
      </c>
      <c r="B2" s="765"/>
    </row>
    <row r="3" spans="1:19">
      <c r="A3" s="698"/>
      <c r="B3" s="698"/>
    </row>
    <row r="4" spans="1:19">
      <c r="A4" s="698"/>
      <c r="B4" s="698"/>
    </row>
    <row r="5" spans="1:19">
      <c r="A5" s="698"/>
      <c r="B5" s="698"/>
    </row>
    <row r="6" spans="1:19">
      <c r="A6" s="1" t="s">
        <v>17</v>
      </c>
      <c r="B6" s="2">
        <v>45931</v>
      </c>
    </row>
    <row r="7" spans="1:19">
      <c r="A7" s="1" t="s">
        <v>18</v>
      </c>
      <c r="B7" s="3">
        <v>200000000</v>
      </c>
    </row>
    <row r="8" spans="1:19">
      <c r="A8" s="125" t="s">
        <v>19</v>
      </c>
      <c r="B8" s="482">
        <v>45947</v>
      </c>
      <c r="C8" s="496" t="s">
        <v>8</v>
      </c>
      <c r="D8" s="350" t="s">
        <v>9</v>
      </c>
      <c r="E8" s="350" t="s">
        <v>10</v>
      </c>
      <c r="F8" s="295" t="s">
        <v>11</v>
      </c>
      <c r="G8" s="353" t="s">
        <v>12</v>
      </c>
      <c r="H8" s="295" t="s">
        <v>13</v>
      </c>
      <c r="I8" s="353" t="s">
        <v>14</v>
      </c>
      <c r="J8" s="496" t="s">
        <v>8</v>
      </c>
      <c r="K8" s="350" t="s">
        <v>9</v>
      </c>
      <c r="L8" s="350" t="s">
        <v>10</v>
      </c>
      <c r="M8" s="295" t="s">
        <v>11</v>
      </c>
      <c r="N8" s="353" t="s">
        <v>12</v>
      </c>
      <c r="O8" s="295" t="s">
        <v>13</v>
      </c>
      <c r="P8" s="353" t="s">
        <v>14</v>
      </c>
      <c r="Q8" s="496" t="s">
        <v>8</v>
      </c>
      <c r="R8" s="350" t="s">
        <v>9</v>
      </c>
    </row>
    <row r="9" spans="1:19">
      <c r="A9" s="484"/>
      <c r="B9" s="356" t="s">
        <v>27</v>
      </c>
      <c r="C9" s="302">
        <v>45947</v>
      </c>
      <c r="D9" s="302">
        <v>45948</v>
      </c>
      <c r="E9" s="302">
        <v>45949</v>
      </c>
      <c r="F9" s="302">
        <v>45950</v>
      </c>
      <c r="G9" s="302">
        <v>45951</v>
      </c>
      <c r="H9" s="302">
        <v>45952</v>
      </c>
      <c r="I9" s="302">
        <v>45953</v>
      </c>
      <c r="J9" s="302">
        <v>45954</v>
      </c>
      <c r="K9" s="302">
        <v>45955</v>
      </c>
      <c r="L9" s="302">
        <v>45956</v>
      </c>
      <c r="M9" s="302">
        <v>45957</v>
      </c>
      <c r="N9" s="302">
        <v>45958</v>
      </c>
      <c r="O9" s="302">
        <v>45959</v>
      </c>
      <c r="P9" s="302">
        <v>45960</v>
      </c>
      <c r="Q9" s="302">
        <v>45961</v>
      </c>
      <c r="R9" s="302">
        <v>45962</v>
      </c>
      <c r="S9" s="483" t="s">
        <v>28</v>
      </c>
    </row>
    <row r="10" spans="1:19" s="159" customFormat="1" ht="15.75">
      <c r="A10" s="485" t="s">
        <v>29</v>
      </c>
      <c r="B10" s="486">
        <v>750000000</v>
      </c>
      <c r="C10" s="507">
        <f>B10+C16-C42</f>
        <v>-141062236.70270276</v>
      </c>
      <c r="D10" s="507">
        <f>C10+D16-D42</f>
        <v>-141062236.70270276</v>
      </c>
      <c r="E10" s="507">
        <f t="shared" ref="E10:R10" si="0">D10+E16-E42</f>
        <v>-141062236.70270276</v>
      </c>
      <c r="F10" s="507">
        <f t="shared" si="0"/>
        <v>678739540.29729724</v>
      </c>
      <c r="G10" s="507">
        <f t="shared" si="0"/>
        <v>-627864456.82770276</v>
      </c>
      <c r="H10" s="507">
        <f t="shared" si="0"/>
        <v>-411497441.82770276</v>
      </c>
      <c r="I10" s="763">
        <f>H10+I16-I42</f>
        <v>-1111319019.8817568</v>
      </c>
      <c r="J10" s="507">
        <f t="shared" si="0"/>
        <v>-227479962.88175678</v>
      </c>
      <c r="K10" s="507">
        <f t="shared" si="0"/>
        <v>-232979962.88175678</v>
      </c>
      <c r="L10" s="507">
        <f t="shared" si="0"/>
        <v>-232979962.88175678</v>
      </c>
      <c r="M10" s="507">
        <f t="shared" si="0"/>
        <v>-155954399.88175678</v>
      </c>
      <c r="N10" s="507">
        <f t="shared" si="0"/>
        <v>-494434454.88175678</v>
      </c>
      <c r="O10" s="507">
        <f t="shared" si="0"/>
        <v>-494434454.88175678</v>
      </c>
      <c r="P10" s="763">
        <f t="shared" si="0"/>
        <v>-1052501573.8817568</v>
      </c>
      <c r="Q10" s="507">
        <f t="shared" si="0"/>
        <v>56113539.118243217</v>
      </c>
      <c r="R10" s="507">
        <f t="shared" si="0"/>
        <v>3558735421.1182432</v>
      </c>
      <c r="S10" s="487"/>
    </row>
    <row r="11" spans="1:19">
      <c r="A11" s="484"/>
      <c r="B11" s="438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</row>
    <row r="12" spans="1:19">
      <c r="A12" s="432" t="s">
        <v>77</v>
      </c>
      <c r="B12" s="488"/>
      <c r="C12" s="480"/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500">
        <f ca="1">SUM(B12:B12:S12)</f>
        <v>0</v>
      </c>
    </row>
    <row r="13" spans="1:19" s="243" customFormat="1">
      <c r="A13" s="374" t="s">
        <v>31</v>
      </c>
      <c r="B13" s="242" t="s">
        <v>78</v>
      </c>
      <c r="C13" s="478">
        <f>'IN-ACC-Piutang &amp; Revenue'!E51</f>
        <v>0</v>
      </c>
      <c r="D13" s="478">
        <f>'IN-ACC-Piutang &amp; Revenue'!F51</f>
        <v>0</v>
      </c>
      <c r="E13" s="478">
        <f>'IN-ACC-Piutang &amp; Revenue'!G51</f>
        <v>0</v>
      </c>
      <c r="F13" s="433">
        <f>'IN-ACC-Piutang &amp; Revenue'!H51</f>
        <v>838451777</v>
      </c>
      <c r="G13" s="433">
        <f>'IN-ACC-Piutang &amp; Revenue'!I51</f>
        <v>120390000</v>
      </c>
      <c r="H13" s="433">
        <f>'IN-ACC-Piutang &amp; Revenue'!J51</f>
        <v>291003015</v>
      </c>
      <c r="I13" s="433">
        <f>'IN-ACC-Piutang &amp; Revenue'!K51</f>
        <v>5134305</v>
      </c>
      <c r="J13" s="433">
        <f>'IN-ACC-Piutang &amp; Revenue'!L51</f>
        <v>885839057</v>
      </c>
      <c r="K13" s="433">
        <f>'IN-ACC-Piutang &amp; Revenue'!M51</f>
        <v>0</v>
      </c>
      <c r="L13" s="433">
        <f>'IN-ACC-Piutang &amp; Revenue'!N51</f>
        <v>0</v>
      </c>
      <c r="M13" s="433">
        <f>'IN-ACC-Piutang &amp; Revenue'!O51</f>
        <v>77025563</v>
      </c>
      <c r="N13" s="433">
        <f>'IN-ACC-Piutang &amp; Revenue'!P51</f>
        <v>19658000</v>
      </c>
      <c r="O13" s="433">
        <f>'IN-ACC-Piutang &amp; Revenue'!Q51</f>
        <v>0</v>
      </c>
      <c r="P13" s="433">
        <f>'IN-ACC-Piutang &amp; Revenue'!R51</f>
        <v>0</v>
      </c>
      <c r="Q13" s="433">
        <f>'IN-ACC-Piutang &amp; Revenue'!S51</f>
        <v>1108615113</v>
      </c>
      <c r="R13" s="433">
        <f>'IN-ACC-Piutang &amp; Revenue'!T51</f>
        <v>3787621882</v>
      </c>
      <c r="S13" s="748">
        <f>SUM(C13:R13)</f>
        <v>7133738712</v>
      </c>
    </row>
    <row r="14" spans="1:19">
      <c r="A14" s="125" t="s">
        <v>33</v>
      </c>
      <c r="B14" s="686" t="s">
        <v>79</v>
      </c>
      <c r="C14" s="433">
        <f>'IN-CFC-Penerimaan PengemPinj'!D19</f>
        <v>0</v>
      </c>
      <c r="D14" s="433">
        <f>'IN-CFC-Penerimaan PengemPinj'!E19</f>
        <v>0</v>
      </c>
      <c r="E14" s="433">
        <f>'IN-CFC-Penerimaan PengemPinj'!F19</f>
        <v>0</v>
      </c>
      <c r="F14" s="433">
        <f>'IN-CFC-Penerimaan PengemPinj'!G19</f>
        <v>0</v>
      </c>
      <c r="G14" s="433">
        <f>'IN-CFC-Penerimaan PengemPinj'!H19</f>
        <v>0</v>
      </c>
      <c r="H14" s="433">
        <f>'IN-CFC-Penerimaan PengemPinj'!I19</f>
        <v>0</v>
      </c>
      <c r="I14" s="433">
        <f>'IN-CFC-Penerimaan PengemPinj'!J19</f>
        <v>0</v>
      </c>
      <c r="J14" s="433">
        <f>'IN-CFC-Penerimaan PengemPinj'!K19</f>
        <v>0</v>
      </c>
      <c r="K14" s="433">
        <f>'IN-CFC-Penerimaan PengemPinj'!L19</f>
        <v>0</v>
      </c>
      <c r="L14" s="433">
        <f>'IN-CFC-Penerimaan PengemPinj'!M19</f>
        <v>0</v>
      </c>
      <c r="M14" s="433">
        <f>'IN-CFC-Penerimaan PengemPinj'!N19</f>
        <v>0</v>
      </c>
      <c r="N14" s="433">
        <f>'IN-CFC-Penerimaan PengemPinj'!O19</f>
        <v>0</v>
      </c>
      <c r="O14" s="433">
        <f>'IN-CFC-Penerimaan PengemPinj'!P19</f>
        <v>0</v>
      </c>
      <c r="P14" s="433">
        <f>'IN-CFC-Penerimaan PengemPinj'!Q19</f>
        <v>0</v>
      </c>
      <c r="Q14" s="433">
        <f>'IN-CFC-Penerimaan PengemPinj'!R19</f>
        <v>0</v>
      </c>
      <c r="R14" s="433">
        <f>'IN-CFC-Penerimaan PengemPinj'!S19</f>
        <v>0</v>
      </c>
      <c r="S14" s="502">
        <f>SUM(C14:R14)</f>
        <v>0</v>
      </c>
    </row>
    <row r="15" spans="1:19">
      <c r="A15" s="125" t="s">
        <v>35</v>
      </c>
      <c r="B15" s="124"/>
      <c r="C15" s="433">
        <f>'IN-CFC-Suntikan Modal'!D12</f>
        <v>0</v>
      </c>
      <c r="D15" s="433">
        <f>'IN-CFC-Suntikan Modal'!E12</f>
        <v>0</v>
      </c>
      <c r="E15" s="433">
        <f>'IN-CFC-Suntikan Modal'!F12</f>
        <v>0</v>
      </c>
      <c r="F15" s="433">
        <f>'IN-CFC-Suntikan Modal'!G12</f>
        <v>0</v>
      </c>
      <c r="G15" s="433">
        <f>'IN-CFC-Suntikan Modal'!H12</f>
        <v>0</v>
      </c>
      <c r="H15" s="433">
        <f>'IN-CFC-Suntikan Modal'!I12</f>
        <v>0</v>
      </c>
      <c r="I15" s="433">
        <f>'IN-CFC-Suntikan Modal'!J12</f>
        <v>0</v>
      </c>
      <c r="J15" s="433">
        <f>'IN-CFC-Suntikan Modal'!K12</f>
        <v>0</v>
      </c>
      <c r="K15" s="433">
        <f>'IN-CFC-Suntikan Modal'!L12</f>
        <v>0</v>
      </c>
      <c r="L15" s="433">
        <f>'IN-CFC-Suntikan Modal'!M12</f>
        <v>0</v>
      </c>
      <c r="M15" s="433">
        <f>'IN-CFC-Suntikan Modal'!N12</f>
        <v>0</v>
      </c>
      <c r="N15" s="433">
        <f>'IN-CFC-Suntikan Modal'!O12</f>
        <v>0</v>
      </c>
      <c r="O15" s="433">
        <f>'IN-CFC-Suntikan Modal'!P12</f>
        <v>0</v>
      </c>
      <c r="P15" s="433">
        <f>'IN-CFC-Suntikan Modal'!Q12</f>
        <v>0</v>
      </c>
      <c r="Q15" s="433">
        <f>'IN-CFC-Suntikan Modal'!R12</f>
        <v>0</v>
      </c>
      <c r="R15" s="433">
        <f>'IN-CFC-Suntikan Modal'!S12</f>
        <v>0</v>
      </c>
      <c r="S15" s="502">
        <f>SUM(C15:R15)</f>
        <v>0</v>
      </c>
    </row>
    <row r="16" spans="1:19">
      <c r="A16" s="432" t="s">
        <v>77</v>
      </c>
      <c r="B16" s="489"/>
      <c r="C16" s="377">
        <f>SUM(C13:C15)</f>
        <v>0</v>
      </c>
      <c r="D16" s="377">
        <f t="shared" ref="D16:J16" si="1">SUM(D13:D15)</f>
        <v>0</v>
      </c>
      <c r="E16" s="377">
        <f t="shared" si="1"/>
        <v>0</v>
      </c>
      <c r="F16" s="377">
        <f t="shared" si="1"/>
        <v>838451777</v>
      </c>
      <c r="G16" s="377">
        <f t="shared" si="1"/>
        <v>120390000</v>
      </c>
      <c r="H16" s="377">
        <f t="shared" si="1"/>
        <v>291003015</v>
      </c>
      <c r="I16" s="377">
        <f t="shared" si="1"/>
        <v>5134305</v>
      </c>
      <c r="J16" s="377">
        <f t="shared" si="1"/>
        <v>885839057</v>
      </c>
      <c r="K16" s="377">
        <f t="shared" ref="K16:R16" si="2">SUM(K13:K15)</f>
        <v>0</v>
      </c>
      <c r="L16" s="377">
        <f t="shared" si="2"/>
        <v>0</v>
      </c>
      <c r="M16" s="377">
        <f t="shared" si="2"/>
        <v>77025563</v>
      </c>
      <c r="N16" s="377">
        <f t="shared" si="2"/>
        <v>19658000</v>
      </c>
      <c r="O16" s="377">
        <f t="shared" si="2"/>
        <v>0</v>
      </c>
      <c r="P16" s="377">
        <f t="shared" si="2"/>
        <v>0</v>
      </c>
      <c r="Q16" s="377">
        <f t="shared" si="2"/>
        <v>1108615113</v>
      </c>
      <c r="R16" s="377">
        <f t="shared" si="2"/>
        <v>3787621882</v>
      </c>
      <c r="S16" s="521">
        <f>SUM(S13:S15)</f>
        <v>7133738712</v>
      </c>
    </row>
    <row r="17" spans="1:19">
      <c r="A17" s="484"/>
      <c r="B17" s="438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477"/>
    </row>
    <row r="18" spans="1:19">
      <c r="A18" s="490" t="s">
        <v>80</v>
      </c>
      <c r="B18" s="488"/>
      <c r="C18" s="488"/>
      <c r="D18" s="488"/>
      <c r="E18" s="488"/>
      <c r="F18" s="488"/>
      <c r="G18" s="488"/>
      <c r="H18" s="488"/>
      <c r="I18" s="488"/>
      <c r="J18" s="488"/>
      <c r="K18" s="488"/>
      <c r="L18" s="488"/>
      <c r="M18" s="488"/>
      <c r="N18" s="488"/>
      <c r="O18" s="488"/>
      <c r="P18" s="488"/>
      <c r="Q18" s="488"/>
      <c r="R18" s="488"/>
      <c r="S18" s="500">
        <f ca="1">SUM(B18:B18:S18)</f>
        <v>0</v>
      </c>
    </row>
    <row r="19" spans="1:19">
      <c r="A19" s="477" t="s">
        <v>38</v>
      </c>
      <c r="B19" s="122" t="s">
        <v>78</v>
      </c>
      <c r="C19" s="433">
        <f>'OUT-ACC-PAJAK'!D35</f>
        <v>0</v>
      </c>
      <c r="D19" s="433">
        <f>'OUT-ACC-PAJAK'!E35</f>
        <v>0</v>
      </c>
      <c r="E19" s="433">
        <f>'OUT-ACC-PAJAK'!F35</f>
        <v>0</v>
      </c>
      <c r="F19" s="433">
        <f>'OUT-ACC-PAJAK'!G35</f>
        <v>0</v>
      </c>
      <c r="G19" s="433">
        <f>'OUT-ACC-PAJAK'!H35</f>
        <v>46190827.125000007</v>
      </c>
      <c r="H19" s="433">
        <f>'OUT-ACC-PAJAK'!I35</f>
        <v>0</v>
      </c>
      <c r="I19" s="433">
        <f>'OUT-ACC-PAJAK'!J35</f>
        <v>104638748</v>
      </c>
      <c r="J19" s="433">
        <f>'OUT-ACC-PAJAK'!K35</f>
        <v>0</v>
      </c>
      <c r="K19" s="433">
        <f>'OUT-ACC-PAJAK'!L35</f>
        <v>0</v>
      </c>
      <c r="L19" s="433">
        <f>'OUT-ACC-PAJAK'!M35</f>
        <v>0</v>
      </c>
      <c r="M19" s="433">
        <f>'OUT-ACC-PAJAK'!N35</f>
        <v>0</v>
      </c>
      <c r="N19" s="433">
        <f>'OUT-ACC-PAJAK'!O35</f>
        <v>20869507</v>
      </c>
      <c r="O19" s="433">
        <f>'OUT-ACC-PAJAK'!P35</f>
        <v>0</v>
      </c>
      <c r="P19" s="433">
        <f>'OUT-ACC-PAJAK'!Q35</f>
        <v>216881482</v>
      </c>
      <c r="Q19" s="433">
        <f>'OUT-ACC-PAJAK'!R35</f>
        <v>0</v>
      </c>
      <c r="R19" s="433">
        <f>'OUT-ACC-PAJAK'!S35</f>
        <v>0</v>
      </c>
      <c r="S19" s="728">
        <f t="shared" ref="S19:S41" si="3">SUM(C19:R19)</f>
        <v>388580564.125</v>
      </c>
    </row>
    <row r="20" spans="1:19" ht="14.25" customHeight="1">
      <c r="A20" s="126" t="s">
        <v>81</v>
      </c>
      <c r="B20" s="122" t="s">
        <v>82</v>
      </c>
      <c r="C20" s="433">
        <f>'OUT - HR - Gaji &amp; Benefit'!D18</f>
        <v>0</v>
      </c>
      <c r="D20" s="433">
        <f>'OUT - HR - Gaji &amp; Benefit'!E18</f>
        <v>0</v>
      </c>
      <c r="E20" s="433">
        <f>'OUT - HR - Gaji &amp; Benefit'!F18</f>
        <v>0</v>
      </c>
      <c r="F20" s="433">
        <f>'OUT - HR - Gaji &amp; Benefit'!G18</f>
        <v>0</v>
      </c>
      <c r="G20" s="433">
        <f>'OUT - HR - Gaji &amp; Benefit'!H18</f>
        <v>0</v>
      </c>
      <c r="H20" s="433">
        <f>'OUT - HR - Gaji &amp; Benefit'!I18</f>
        <v>0</v>
      </c>
      <c r="I20" s="433">
        <f>'OUT - HR - Gaji &amp; Benefit'!J18</f>
        <v>0</v>
      </c>
      <c r="J20" s="433">
        <f>'OUT - HR - Gaji &amp; Benefit'!K18</f>
        <v>0</v>
      </c>
      <c r="K20" s="433">
        <f>'OUT - HR - Gaji &amp; Benefit'!L18</f>
        <v>0</v>
      </c>
      <c r="L20" s="433">
        <f>'OUT - HR - Gaji &amp; Benefit'!M18</f>
        <v>0</v>
      </c>
      <c r="M20" s="433">
        <f>'OUT - HR - Gaji &amp; Benefit'!N18</f>
        <v>0</v>
      </c>
      <c r="N20" s="433">
        <f>'OUT - HR - Gaji &amp; Benefit'!O18</f>
        <v>0</v>
      </c>
      <c r="O20" s="433">
        <f>'OUT - HR - Gaji &amp; Benefit'!P18</f>
        <v>0</v>
      </c>
      <c r="P20" s="433">
        <f>'OUT - HR - Gaji &amp; Benefit'!Q18</f>
        <v>0</v>
      </c>
      <c r="Q20" s="433">
        <f>'OUT - HR - Gaji &amp; Benefit'!R18</f>
        <v>0</v>
      </c>
      <c r="R20" s="433">
        <f>'OUT - HR - Gaji &amp; Benefit'!S18</f>
        <v>250000000</v>
      </c>
      <c r="S20" s="728">
        <f t="shared" si="3"/>
        <v>250000000</v>
      </c>
    </row>
    <row r="21" spans="1:19">
      <c r="A21" s="125" t="s">
        <v>42</v>
      </c>
      <c r="B21" s="122" t="s">
        <v>79</v>
      </c>
      <c r="C21" s="433">
        <f>'OUT - CFC - Corporate Expenses'!H33</f>
        <v>0</v>
      </c>
      <c r="D21" s="433">
        <f>'OUT - CFC - Corporate Expenses'!I33</f>
        <v>0</v>
      </c>
      <c r="E21" s="433">
        <f>'OUT - CFC - Corporate Expenses'!J33</f>
        <v>0</v>
      </c>
      <c r="F21" s="433">
        <f>'OUT - CFC - Corporate Expenses'!K33</f>
        <v>0</v>
      </c>
      <c r="G21" s="433">
        <f>'OUT - CFC - Corporate Expenses'!L33</f>
        <v>81607500</v>
      </c>
      <c r="H21" s="433">
        <f>'OUT - CFC - Corporate Expenses'!M33</f>
        <v>74636000</v>
      </c>
      <c r="I21" s="433">
        <f>'OUT - CFC - Corporate Expenses'!N33</f>
        <v>101691071</v>
      </c>
      <c r="J21" s="433">
        <f>'OUT - CFC - Corporate Expenses'!O33</f>
        <v>0</v>
      </c>
      <c r="K21" s="433">
        <f>'OUT - CFC - Corporate Expenses'!P33</f>
        <v>0</v>
      </c>
      <c r="L21" s="433">
        <f>'OUT - CFC - Corporate Expenses'!Q33</f>
        <v>0</v>
      </c>
      <c r="M21" s="433">
        <f>'OUT - CFC - Corporate Expenses'!R33</f>
        <v>0</v>
      </c>
      <c r="N21" s="433">
        <f>'OUT - CFC - Corporate Expenses'!S33</f>
        <v>7441198</v>
      </c>
      <c r="O21" s="433">
        <f>'OUT - CFC - Corporate Expenses'!T33</f>
        <v>0</v>
      </c>
      <c r="P21" s="433">
        <f>'OUT - CFC - Corporate Expenses'!U33</f>
        <v>0</v>
      </c>
      <c r="Q21" s="433">
        <f>'OUT - CFC - Corporate Expenses'!V33</f>
        <v>0</v>
      </c>
      <c r="R21" s="433">
        <f>'OUT - CFC - Corporate Expenses'!W33</f>
        <v>35000000</v>
      </c>
      <c r="S21" s="728">
        <f t="shared" si="3"/>
        <v>300375769</v>
      </c>
    </row>
    <row r="22" spans="1:19" ht="13.5" customHeight="1">
      <c r="A22" s="125" t="s">
        <v>83</v>
      </c>
      <c r="B22" s="122" t="s">
        <v>78</v>
      </c>
      <c r="C22" s="433">
        <f>'OUT - ACC - Ops Kantor'!D21</f>
        <v>0</v>
      </c>
      <c r="D22" s="433">
        <f>'OUT - ACC - Ops Kantor'!E21</f>
        <v>0</v>
      </c>
      <c r="E22" s="433">
        <f>'OUT - ACC - Ops Kantor'!F21</f>
        <v>0</v>
      </c>
      <c r="F22" s="433">
        <f>'OUT - ACC - Ops Kantor'!G21</f>
        <v>0</v>
      </c>
      <c r="G22" s="433">
        <f>'OUT - ACC - Ops Kantor'!H21</f>
        <v>0</v>
      </c>
      <c r="H22" s="433">
        <f>'OUT - ACC - Ops Kantor'!I21</f>
        <v>0</v>
      </c>
      <c r="I22" s="433">
        <f>'OUT - ACC - Ops Kantor'!J21</f>
        <v>0</v>
      </c>
      <c r="J22" s="433">
        <f>'OUT - ACC - Ops Kantor'!K21</f>
        <v>0</v>
      </c>
      <c r="K22" s="433">
        <f>'OUT - ACC - Ops Kantor'!L21</f>
        <v>0</v>
      </c>
      <c r="L22" s="433">
        <f>'OUT - ACC - Ops Kantor'!M21</f>
        <v>0</v>
      </c>
      <c r="M22" s="433">
        <f>'OUT - ACC - Ops Kantor'!N21</f>
        <v>0</v>
      </c>
      <c r="N22" s="433">
        <f>'OUT - ACC - Ops Kantor'!O21</f>
        <v>0</v>
      </c>
      <c r="O22" s="433">
        <f>'OUT - ACC - Ops Kantor'!P21</f>
        <v>0</v>
      </c>
      <c r="P22" s="433">
        <f>'OUT - ACC - Ops Kantor'!Q21</f>
        <v>0</v>
      </c>
      <c r="Q22" s="433">
        <f>'OUT - ACC - Ops Kantor'!R21</f>
        <v>0</v>
      </c>
      <c r="R22" s="433">
        <f>'OUT - ACC - Ops Kantor'!S21</f>
        <v>0</v>
      </c>
      <c r="S22" s="520">
        <f t="shared" si="3"/>
        <v>0</v>
      </c>
    </row>
    <row r="23" spans="1:19" ht="13.5" customHeight="1">
      <c r="A23" s="125" t="s">
        <v>84</v>
      </c>
      <c r="B23" s="122" t="s">
        <v>85</v>
      </c>
      <c r="C23" s="433">
        <f>'OUT-ACS-OPS'!D18</f>
        <v>0</v>
      </c>
      <c r="D23" s="433">
        <f>'OUT-ACS-OPS'!E18</f>
        <v>0</v>
      </c>
      <c r="E23" s="433">
        <f>'OUT-ACS-OPS'!F18</f>
        <v>0</v>
      </c>
      <c r="F23" s="433">
        <f>'OUT-ACS-OPS'!G18</f>
        <v>0</v>
      </c>
      <c r="G23" s="433">
        <f>'OUT-ACS-OPS'!H18</f>
        <v>0</v>
      </c>
      <c r="H23" s="433">
        <f>'OUT-ACS-OPS'!I18</f>
        <v>0</v>
      </c>
      <c r="I23" s="433">
        <f>'OUT-ACS-OPS'!J18</f>
        <v>0</v>
      </c>
      <c r="J23" s="433">
        <f>'OUT-ACS-OPS'!K18</f>
        <v>0</v>
      </c>
      <c r="K23" s="433">
        <f>'OUT-ACS-OPS'!L18</f>
        <v>0</v>
      </c>
      <c r="L23" s="433">
        <f>'OUT-ACS-OPS'!M18</f>
        <v>0</v>
      </c>
      <c r="M23" s="433">
        <f>'OUT-ACS-OPS'!N18</f>
        <v>0</v>
      </c>
      <c r="N23" s="433">
        <f>'OUT-ACS-OPS'!O18</f>
        <v>0</v>
      </c>
      <c r="O23" s="433">
        <f>'OUT-ACS-OPS'!P18</f>
        <v>0</v>
      </c>
      <c r="P23" s="433">
        <f>'OUT-ACS-OPS'!Q18</f>
        <v>0</v>
      </c>
      <c r="Q23" s="433">
        <f>'OUT-ACS-OPS'!R18</f>
        <v>0</v>
      </c>
      <c r="R23" s="433">
        <f>'OUT-ACS-OPS'!S18</f>
        <v>0</v>
      </c>
      <c r="S23" s="520">
        <f t="shared" si="3"/>
        <v>0</v>
      </c>
    </row>
    <row r="24" spans="1:19" ht="13.5" customHeight="1">
      <c r="A24" s="125" t="s">
        <v>86</v>
      </c>
      <c r="B24" s="122" t="s">
        <v>87</v>
      </c>
      <c r="C24" s="433">
        <f>'OUT-BAS-OPS'!D18</f>
        <v>0</v>
      </c>
      <c r="D24" s="433">
        <f>'OUT-BAS-OPS'!E18</f>
        <v>0</v>
      </c>
      <c r="E24" s="433">
        <f>'OUT-BAS-OPS'!F18</f>
        <v>0</v>
      </c>
      <c r="F24" s="433">
        <f>'OUT-BAS-OPS'!G18</f>
        <v>0</v>
      </c>
      <c r="G24" s="433">
        <f>'OUT-BAS-OPS'!H18</f>
        <v>0</v>
      </c>
      <c r="H24" s="433">
        <f>'OUT-BAS-OPS'!I18</f>
        <v>0</v>
      </c>
      <c r="I24" s="433">
        <f>'OUT-BAS-OPS'!J18</f>
        <v>0</v>
      </c>
      <c r="J24" s="433">
        <f>'OUT-BAS-OPS'!K18</f>
        <v>0</v>
      </c>
      <c r="K24" s="433">
        <f>'OUT-BAS-OPS'!L18</f>
        <v>0</v>
      </c>
      <c r="L24" s="433">
        <f>'OUT-BAS-OPS'!M18</f>
        <v>0</v>
      </c>
      <c r="M24" s="433">
        <f>'OUT-BAS-OPS'!N18</f>
        <v>0</v>
      </c>
      <c r="N24" s="433">
        <f>'OUT-BAS-OPS'!O18</f>
        <v>0</v>
      </c>
      <c r="O24" s="433">
        <f>'OUT-BAS-OPS'!P18</f>
        <v>0</v>
      </c>
      <c r="P24" s="433">
        <f>'OUT-BAS-OPS'!Q18</f>
        <v>0</v>
      </c>
      <c r="Q24" s="433">
        <f>'OUT-BAS-OPS'!R18</f>
        <v>0</v>
      </c>
      <c r="R24" s="433">
        <f>'OUT-BAS-OPS'!S18</f>
        <v>0</v>
      </c>
      <c r="S24" s="520">
        <f t="shared" si="3"/>
        <v>0</v>
      </c>
    </row>
    <row r="25" spans="1:19" ht="13.5" customHeight="1">
      <c r="A25" s="125" t="s">
        <v>88</v>
      </c>
      <c r="B25" s="122" t="s">
        <v>89</v>
      </c>
      <c r="C25" s="433">
        <f>'OUT-BID-OPS'!D12</f>
        <v>0</v>
      </c>
      <c r="D25" s="433">
        <f>'OUT-BID-OPS'!E12</f>
        <v>0</v>
      </c>
      <c r="E25" s="433">
        <f>'OUT-BID-OPS'!F12</f>
        <v>0</v>
      </c>
      <c r="F25" s="433">
        <f>'OUT-BID-OPS'!G12</f>
        <v>0</v>
      </c>
      <c r="G25" s="433">
        <f>'OUT-BID-OPS'!H12</f>
        <v>0</v>
      </c>
      <c r="H25" s="433">
        <f>'OUT-BID-OPS'!I12</f>
        <v>0</v>
      </c>
      <c r="I25" s="433">
        <f>'OUT-BID-OPS'!J12</f>
        <v>0</v>
      </c>
      <c r="J25" s="433">
        <f>'OUT-BID-OPS'!K12</f>
        <v>0</v>
      </c>
      <c r="K25" s="433">
        <f>'OUT-BID-OPS'!L12</f>
        <v>0</v>
      </c>
      <c r="L25" s="433">
        <f>'OUT-BID-OPS'!M12</f>
        <v>0</v>
      </c>
      <c r="M25" s="433">
        <f>'OUT-BID-OPS'!N12</f>
        <v>0</v>
      </c>
      <c r="N25" s="433">
        <f>'OUT-BID-OPS'!O12</f>
        <v>0</v>
      </c>
      <c r="O25" s="433">
        <f>'OUT-BID-OPS'!P12</f>
        <v>0</v>
      </c>
      <c r="P25" s="433">
        <f>'OUT-BID-OPS'!Q12</f>
        <v>0</v>
      </c>
      <c r="Q25" s="433">
        <f>'OUT-BID-OPS'!R12</f>
        <v>0</v>
      </c>
      <c r="R25" s="433">
        <f>'OUT-BID-OPS'!S12</f>
        <v>0</v>
      </c>
      <c r="S25" s="520">
        <f t="shared" si="3"/>
        <v>0</v>
      </c>
    </row>
    <row r="26" spans="1:19" ht="13.5" customHeight="1">
      <c r="A26" s="125" t="s">
        <v>90</v>
      </c>
      <c r="B26" s="122" t="s">
        <v>79</v>
      </c>
      <c r="C26" s="433">
        <f>'OUT-CFC-OPS'!D12</f>
        <v>0</v>
      </c>
      <c r="D26" s="433">
        <f>'OUT-CFC-OPS'!E12</f>
        <v>0</v>
      </c>
      <c r="E26" s="433">
        <f>'OUT-CFC-OPS'!F12</f>
        <v>0</v>
      </c>
      <c r="F26" s="433">
        <f>'OUT-CFC-OPS'!G12</f>
        <v>0</v>
      </c>
      <c r="G26" s="433">
        <f>'OUT-CFC-OPS'!H12</f>
        <v>0</v>
      </c>
      <c r="H26" s="433">
        <f>'OUT-CFC-OPS'!I12</f>
        <v>0</v>
      </c>
      <c r="I26" s="433">
        <f>'OUT-CFC-OPS'!J12</f>
        <v>0</v>
      </c>
      <c r="J26" s="433">
        <f>'OUT-CFC-OPS'!K12</f>
        <v>0</v>
      </c>
      <c r="K26" s="433">
        <f>'OUT-CFC-OPS'!L12</f>
        <v>0</v>
      </c>
      <c r="L26" s="433">
        <f>'OUT-CFC-OPS'!M12</f>
        <v>0</v>
      </c>
      <c r="M26" s="433">
        <f>'OUT-CFC-OPS'!N12</f>
        <v>0</v>
      </c>
      <c r="N26" s="433">
        <f>'OUT-CFC-OPS'!O12</f>
        <v>0</v>
      </c>
      <c r="O26" s="433">
        <f>'OUT-CFC-OPS'!P12</f>
        <v>0</v>
      </c>
      <c r="P26" s="433">
        <f>'OUT-CFC-OPS'!Q12</f>
        <v>0</v>
      </c>
      <c r="Q26" s="433">
        <f>'OUT-CFC-OPS'!R12</f>
        <v>0</v>
      </c>
      <c r="R26" s="433">
        <f>'OUT-CFC-OPS'!S12</f>
        <v>0</v>
      </c>
      <c r="S26" s="520">
        <f t="shared" si="3"/>
        <v>0</v>
      </c>
    </row>
    <row r="27" spans="1:19" ht="13.5" customHeight="1">
      <c r="A27" s="125" t="s">
        <v>44</v>
      </c>
      <c r="B27" s="122" t="s">
        <v>91</v>
      </c>
      <c r="C27" s="433">
        <f>'OUT-GA-OPS'!D26</f>
        <v>0</v>
      </c>
      <c r="D27" s="433">
        <f>'OUT-GA-OPS'!E26</f>
        <v>0</v>
      </c>
      <c r="E27" s="433">
        <f>'OUT-GA-OPS'!F26</f>
        <v>0</v>
      </c>
      <c r="F27" s="433">
        <f>'OUT-GA-OPS'!G26</f>
        <v>0</v>
      </c>
      <c r="G27" s="433">
        <f>'OUT-GA-OPS'!H26</f>
        <v>7900000</v>
      </c>
      <c r="H27" s="433">
        <f>'OUT-GA-OPS'!I26</f>
        <v>0</v>
      </c>
      <c r="I27" s="433">
        <f>'OUT-GA-OPS'!J26</f>
        <v>300000</v>
      </c>
      <c r="J27" s="433">
        <f>'OUT-GA-OPS'!K26</f>
        <v>0</v>
      </c>
      <c r="K27" s="433">
        <f>'OUT-GA-OPS'!L26</f>
        <v>0</v>
      </c>
      <c r="L27" s="433">
        <f>'OUT-GA-OPS'!M26</f>
        <v>0</v>
      </c>
      <c r="M27" s="433">
        <f>'OUT-GA-OPS'!N26</f>
        <v>0</v>
      </c>
      <c r="N27" s="433">
        <f>'OUT-GA-OPS'!O26</f>
        <v>15740000</v>
      </c>
      <c r="O27" s="433">
        <f>'OUT-GA-OPS'!P26</f>
        <v>0</v>
      </c>
      <c r="P27" s="433">
        <f>'OUT-GA-OPS'!Q26</f>
        <v>2600000</v>
      </c>
      <c r="Q27" s="433">
        <f>'OUT-GA-OPS'!R26</f>
        <v>0</v>
      </c>
      <c r="R27" s="433">
        <f>'OUT-GA-OPS'!S26</f>
        <v>0</v>
      </c>
      <c r="S27" s="728">
        <f t="shared" si="3"/>
        <v>26540000</v>
      </c>
    </row>
    <row r="28" spans="1:19" ht="13.5" customHeight="1">
      <c r="A28" s="125" t="s">
        <v>92</v>
      </c>
      <c r="B28" s="122" t="s">
        <v>82</v>
      </c>
      <c r="C28" s="433">
        <f>'OUT-HR-OPS'!D15</f>
        <v>0</v>
      </c>
      <c r="D28" s="433">
        <f>'OUT-HR-OPS'!E15</f>
        <v>0</v>
      </c>
      <c r="E28" s="433">
        <f>'OUT-HR-OPS'!F15</f>
        <v>0</v>
      </c>
      <c r="F28" s="433">
        <f>'OUT-HR-OPS'!G15</f>
        <v>0</v>
      </c>
      <c r="G28" s="433">
        <f>'OUT-HR-OPS'!H15</f>
        <v>0</v>
      </c>
      <c r="H28" s="433">
        <f>'OUT-HR-OPS'!I15</f>
        <v>0</v>
      </c>
      <c r="I28" s="433">
        <f>'OUT-HR-OPS'!J15</f>
        <v>2000000</v>
      </c>
      <c r="J28" s="433">
        <f>'OUT-HR-OPS'!K15</f>
        <v>2000000</v>
      </c>
      <c r="K28" s="433">
        <f>'OUT-HR-OPS'!L15</f>
        <v>5500000</v>
      </c>
      <c r="L28" s="433">
        <f>'OUT-HR-OPS'!M15</f>
        <v>0</v>
      </c>
      <c r="M28" s="433">
        <f>'OUT-HR-OPS'!N15</f>
        <v>0</v>
      </c>
      <c r="N28" s="433">
        <f>'OUT-HR-OPS'!O15</f>
        <v>7000000</v>
      </c>
      <c r="O28" s="433">
        <f>'OUT-HR-OPS'!P15</f>
        <v>0</v>
      </c>
      <c r="P28" s="433">
        <f>'OUT-HR-OPS'!Q15</f>
        <v>0</v>
      </c>
      <c r="Q28" s="433">
        <f>'OUT-HR-OPS'!R15</f>
        <v>0</v>
      </c>
      <c r="R28" s="433">
        <f>'OUT-HR-OPS'!S15</f>
        <v>0</v>
      </c>
      <c r="S28" s="728">
        <f t="shared" si="3"/>
        <v>16500000</v>
      </c>
    </row>
    <row r="29" spans="1:19" ht="13.5" customHeight="1">
      <c r="A29" s="125" t="s">
        <v>93</v>
      </c>
      <c r="B29" s="122" t="s">
        <v>94</v>
      </c>
      <c r="C29" s="433">
        <f>'OUT-PD-OPS'!D12</f>
        <v>0</v>
      </c>
      <c r="D29" s="433">
        <f>'OUT-PD-OPS'!E12</f>
        <v>0</v>
      </c>
      <c r="E29" s="433">
        <f>'OUT-PD-OPS'!F12</f>
        <v>0</v>
      </c>
      <c r="F29" s="433">
        <f>'OUT-PD-OPS'!G12</f>
        <v>0</v>
      </c>
      <c r="G29" s="433">
        <f>'OUT-PD-OPS'!H12</f>
        <v>0</v>
      </c>
      <c r="H29" s="433">
        <f>'OUT-PD-OPS'!I12</f>
        <v>0</v>
      </c>
      <c r="I29" s="433">
        <f>'OUT-PD-OPS'!J12</f>
        <v>0</v>
      </c>
      <c r="J29" s="433">
        <f>'OUT-PD-OPS'!K12</f>
        <v>0</v>
      </c>
      <c r="K29" s="433">
        <f>'OUT-PD-OPS'!L12</f>
        <v>0</v>
      </c>
      <c r="L29" s="433">
        <f>'OUT-PD-OPS'!M12</f>
        <v>0</v>
      </c>
      <c r="M29" s="433">
        <f>'OUT-PD-OPS'!N12</f>
        <v>0</v>
      </c>
      <c r="N29" s="433">
        <f>'OUT-PD-OPS'!O12</f>
        <v>0</v>
      </c>
      <c r="O29" s="433">
        <f>'OUT-PD-OPS'!P12</f>
        <v>0</v>
      </c>
      <c r="P29" s="433">
        <f>'OUT-PD-OPS'!Q12</f>
        <v>0</v>
      </c>
      <c r="Q29" s="433">
        <f>'OUT-PD-OPS'!R12</f>
        <v>0</v>
      </c>
      <c r="R29" s="433">
        <f>'OUT-PD-OPS'!S12</f>
        <v>0</v>
      </c>
      <c r="S29" s="520">
        <f t="shared" si="3"/>
        <v>0</v>
      </c>
    </row>
    <row r="30" spans="1:19" ht="13.5" customHeight="1">
      <c r="A30" s="125" t="s">
        <v>95</v>
      </c>
      <c r="B30" s="122" t="s">
        <v>96</v>
      </c>
      <c r="C30" s="433">
        <f>'OUT-SS-OPS'!D12</f>
        <v>0</v>
      </c>
      <c r="D30" s="433">
        <f>'OUT-SS-OPS'!E12</f>
        <v>0</v>
      </c>
      <c r="E30" s="433">
        <f>'OUT-SS-OPS'!F12</f>
        <v>0</v>
      </c>
      <c r="F30" s="433">
        <f>'OUT-SS-OPS'!G12</f>
        <v>0</v>
      </c>
      <c r="G30" s="433">
        <f>'OUT-SS-OPS'!H12</f>
        <v>0</v>
      </c>
      <c r="H30" s="433">
        <f>'OUT-SS-OPS'!I12</f>
        <v>0</v>
      </c>
      <c r="I30" s="433">
        <f>'OUT-SS-OPS'!J12</f>
        <v>0</v>
      </c>
      <c r="J30" s="433">
        <f>'OUT-SS-OPS'!K12</f>
        <v>0</v>
      </c>
      <c r="K30" s="433">
        <f>'OUT-SS-OPS'!L12</f>
        <v>0</v>
      </c>
      <c r="L30" s="433">
        <f>'OUT-SS-OPS'!M12</f>
        <v>0</v>
      </c>
      <c r="M30" s="433">
        <f>'OUT-SS-OPS'!N12</f>
        <v>0</v>
      </c>
      <c r="N30" s="433">
        <f>'OUT-SS-OPS'!O12</f>
        <v>0</v>
      </c>
      <c r="O30" s="433">
        <f>'OUT-SS-OPS'!P12</f>
        <v>0</v>
      </c>
      <c r="P30" s="433">
        <f>'OUT-SS-OPS'!Q12</f>
        <v>0</v>
      </c>
      <c r="Q30" s="433">
        <f>'OUT-SS-OPS'!R12</f>
        <v>0</v>
      </c>
      <c r="R30" s="433">
        <f>'OUT-SS-OPS'!S12</f>
        <v>0</v>
      </c>
      <c r="S30" s="520">
        <f t="shared" si="3"/>
        <v>0</v>
      </c>
    </row>
    <row r="31" spans="1:19" ht="13.5" customHeight="1">
      <c r="A31" s="125" t="s">
        <v>97</v>
      </c>
      <c r="B31" s="122" t="s">
        <v>98</v>
      </c>
      <c r="C31" s="433">
        <f>'OUT-SO-OPS'!D12</f>
        <v>0</v>
      </c>
      <c r="D31" s="433">
        <f>'OUT-SO-OPS'!E12</f>
        <v>0</v>
      </c>
      <c r="E31" s="433">
        <f>'OUT-SO-OPS'!F12</f>
        <v>0</v>
      </c>
      <c r="F31" s="433">
        <f>'OUT-SO-OPS'!G12</f>
        <v>0</v>
      </c>
      <c r="G31" s="433">
        <f>'OUT-SO-OPS'!H12</f>
        <v>0</v>
      </c>
      <c r="H31" s="433">
        <f>'OUT-SO-OPS'!I12</f>
        <v>0</v>
      </c>
      <c r="I31" s="433">
        <f>'OUT-SO-OPS'!J12</f>
        <v>0</v>
      </c>
      <c r="J31" s="433">
        <f>'OUT-SO-OPS'!K12</f>
        <v>0</v>
      </c>
      <c r="K31" s="433">
        <f>'OUT-SO-OPS'!L12</f>
        <v>0</v>
      </c>
      <c r="L31" s="433">
        <f>'OUT-SO-OPS'!M12</f>
        <v>0</v>
      </c>
      <c r="M31" s="433">
        <f>'OUT-SO-OPS'!N12</f>
        <v>0</v>
      </c>
      <c r="N31" s="433">
        <f>'OUT-SO-OPS'!O12</f>
        <v>0</v>
      </c>
      <c r="O31" s="433">
        <f>'OUT-SO-OPS'!P12</f>
        <v>0</v>
      </c>
      <c r="P31" s="433">
        <f>'OUT-SO-OPS'!Q12</f>
        <v>0</v>
      </c>
      <c r="Q31" s="433">
        <f>'OUT-SO-OPS'!R12</f>
        <v>0</v>
      </c>
      <c r="R31" s="433">
        <f>'OUT-SO-OPS'!S12</f>
        <v>0</v>
      </c>
      <c r="S31" s="520">
        <f t="shared" si="3"/>
        <v>0</v>
      </c>
    </row>
    <row r="32" spans="1:19" ht="13.5" customHeight="1">
      <c r="A32" s="125" t="s">
        <v>99</v>
      </c>
      <c r="B32" s="122" t="s">
        <v>100</v>
      </c>
      <c r="C32" s="433">
        <f>'OUT-TEP-OPS'!D12</f>
        <v>0</v>
      </c>
      <c r="D32" s="433">
        <f>'OUT-TEP-OPS'!E12</f>
        <v>0</v>
      </c>
      <c r="E32" s="433">
        <f>'OUT-TEP-OPS'!F12</f>
        <v>0</v>
      </c>
      <c r="F32" s="433">
        <f>'OUT-TEP-OPS'!G12</f>
        <v>0</v>
      </c>
      <c r="G32" s="433">
        <f>'OUT-TEP-OPS'!H12</f>
        <v>0</v>
      </c>
      <c r="H32" s="433">
        <f>'OUT-TEP-OPS'!I12</f>
        <v>0</v>
      </c>
      <c r="I32" s="433">
        <f>'OUT-TEP-OPS'!J12</f>
        <v>0</v>
      </c>
      <c r="J32" s="433">
        <f>'OUT-TEP-OPS'!K12</f>
        <v>0</v>
      </c>
      <c r="K32" s="433">
        <f>'OUT-TEP-OPS'!L12</f>
        <v>0</v>
      </c>
      <c r="L32" s="433">
        <f>'OUT-TEP-OPS'!M12</f>
        <v>0</v>
      </c>
      <c r="M32" s="433">
        <f>'OUT-TEP-OPS'!N12</f>
        <v>0</v>
      </c>
      <c r="N32" s="433">
        <f>'OUT-TEP-OPS'!O12</f>
        <v>0</v>
      </c>
      <c r="O32" s="433">
        <f>'OUT-TEP-OPS'!P12</f>
        <v>0</v>
      </c>
      <c r="P32" s="433">
        <f>'OUT-TEP-OPS'!Q12</f>
        <v>0</v>
      </c>
      <c r="Q32" s="433">
        <f>'OUT-TEP-OPS'!R12</f>
        <v>0</v>
      </c>
      <c r="R32" s="433">
        <f>'OUT-TEP-OPS'!S12</f>
        <v>0</v>
      </c>
      <c r="S32" s="520">
        <f t="shared" si="3"/>
        <v>0</v>
      </c>
    </row>
    <row r="33" spans="1:19" ht="13.5" customHeight="1">
      <c r="A33" s="125" t="s">
        <v>101</v>
      </c>
      <c r="B33" s="122" t="s">
        <v>102</v>
      </c>
      <c r="C33" s="433">
        <f>'OUT-RESERVASI-OPS'!D12</f>
        <v>0</v>
      </c>
      <c r="D33" s="433">
        <f>'OUT-RESERVASI-OPS'!E12</f>
        <v>0</v>
      </c>
      <c r="E33" s="433">
        <f>'OUT-RESERVASI-OPS'!F12</f>
        <v>0</v>
      </c>
      <c r="F33" s="433">
        <f>'OUT-RESERVASI-OPS'!G12</f>
        <v>0</v>
      </c>
      <c r="G33" s="433">
        <f>'OUT-RESERVASI-OPS'!H12</f>
        <v>0</v>
      </c>
      <c r="H33" s="433">
        <f>'OUT-RESERVASI-OPS'!I12</f>
        <v>0</v>
      </c>
      <c r="I33" s="433">
        <f>'OUT-RESERVASI-OPS'!J12</f>
        <v>0</v>
      </c>
      <c r="J33" s="433">
        <f>'OUT-RESERVASI-OPS'!K12</f>
        <v>0</v>
      </c>
      <c r="K33" s="433">
        <f>'OUT-RESERVASI-OPS'!L12</f>
        <v>0</v>
      </c>
      <c r="L33" s="433">
        <f>'OUT-RESERVASI-OPS'!M12</f>
        <v>0</v>
      </c>
      <c r="M33" s="433">
        <f>'OUT-RESERVASI-OPS'!N12</f>
        <v>0</v>
      </c>
      <c r="N33" s="433">
        <f>'OUT-RESERVASI-OPS'!O12</f>
        <v>0</v>
      </c>
      <c r="O33" s="433">
        <f>'OUT-RESERVASI-OPS'!P12</f>
        <v>0</v>
      </c>
      <c r="P33" s="433">
        <f>'OUT-RESERVASI-OPS'!Q12</f>
        <v>0</v>
      </c>
      <c r="Q33" s="433">
        <f>'OUT-RESERVASI-OPS'!R12</f>
        <v>0</v>
      </c>
      <c r="R33" s="433">
        <f>'OUT-RESERVASI-OPS'!S12</f>
        <v>0</v>
      </c>
      <c r="S33" s="520">
        <f t="shared" si="3"/>
        <v>0</v>
      </c>
    </row>
    <row r="34" spans="1:19" ht="13.5" customHeight="1">
      <c r="A34" s="125" t="s">
        <v>103</v>
      </c>
      <c r="B34" s="122" t="s">
        <v>104</v>
      </c>
      <c r="C34" s="433">
        <f>'OUT-TAKSHAKA-OPS'!D12</f>
        <v>0</v>
      </c>
      <c r="D34" s="433">
        <f>'OUT-TAKSHAKA-OPS'!E12</f>
        <v>0</v>
      </c>
      <c r="E34" s="433">
        <f>'OUT-TAKSHAKA-OPS'!F12</f>
        <v>0</v>
      </c>
      <c r="F34" s="433">
        <f>'OUT-TAKSHAKA-OPS'!G12</f>
        <v>0</v>
      </c>
      <c r="G34" s="433">
        <f>'OUT-TAKSHAKA-OPS'!H12</f>
        <v>0</v>
      </c>
      <c r="H34" s="433">
        <f>'OUT-TAKSHAKA-OPS'!I12</f>
        <v>0</v>
      </c>
      <c r="I34" s="433">
        <f>'OUT-TAKSHAKA-OPS'!J12</f>
        <v>0</v>
      </c>
      <c r="J34" s="433">
        <f>'OUT-TAKSHAKA-OPS'!K12</f>
        <v>0</v>
      </c>
      <c r="K34" s="433">
        <f>'OUT-TAKSHAKA-OPS'!L12</f>
        <v>0</v>
      </c>
      <c r="L34" s="433">
        <f>'OUT-TAKSHAKA-OPS'!M12</f>
        <v>0</v>
      </c>
      <c r="M34" s="433">
        <f>'OUT-TAKSHAKA-OPS'!N12</f>
        <v>0</v>
      </c>
      <c r="N34" s="433">
        <f>'OUT-TAKSHAKA-OPS'!O12</f>
        <v>0</v>
      </c>
      <c r="O34" s="433">
        <f>'OUT-TAKSHAKA-OPS'!P12</f>
        <v>0</v>
      </c>
      <c r="P34" s="433">
        <f>'OUT-TAKSHAKA-OPS'!Q12</f>
        <v>0</v>
      </c>
      <c r="Q34" s="433">
        <f>'OUT-TAKSHAKA-OPS'!R12</f>
        <v>0</v>
      </c>
      <c r="R34" s="433">
        <f>'OUT-TAKSHAKA-OPS'!S12</f>
        <v>0</v>
      </c>
      <c r="S34" s="520">
        <f t="shared" si="3"/>
        <v>0</v>
      </c>
    </row>
    <row r="35" spans="1:19">
      <c r="A35" s="125" t="s">
        <v>48</v>
      </c>
      <c r="B35" s="122" t="s">
        <v>79</v>
      </c>
      <c r="C35" s="433">
        <f>'OUT - CFC - Bunga &amp; Angsuran'!I15</f>
        <v>0</v>
      </c>
      <c r="D35" s="433">
        <f>'OUT - CFC - Bunga &amp; Angsuran'!J15</f>
        <v>0</v>
      </c>
      <c r="E35" s="433">
        <f>'OUT - CFC - Bunga &amp; Angsuran'!K15</f>
        <v>0</v>
      </c>
      <c r="F35" s="433">
        <f>'OUT - CFC - Bunga &amp; Angsuran'!L15</f>
        <v>0</v>
      </c>
      <c r="G35" s="433">
        <f>'OUT - CFC - Bunga &amp; Angsuran'!M15</f>
        <v>0</v>
      </c>
      <c r="H35" s="433">
        <f>'OUT - CFC - Bunga &amp; Angsuran'!N15</f>
        <v>0</v>
      </c>
      <c r="I35" s="433">
        <f>'OUT - CFC - Bunga &amp; Angsuran'!O15</f>
        <v>0</v>
      </c>
      <c r="J35" s="433">
        <f>'OUT - CFC - Bunga &amp; Angsuran'!P15</f>
        <v>0</v>
      </c>
      <c r="K35" s="433">
        <f>'OUT - CFC - Bunga &amp; Angsuran'!Q15</f>
        <v>0</v>
      </c>
      <c r="L35" s="433">
        <f>'OUT - CFC - Bunga &amp; Angsuran'!R15</f>
        <v>0</v>
      </c>
      <c r="M35" s="433">
        <f>'OUT - CFC - Bunga &amp; Angsuran'!S15</f>
        <v>0</v>
      </c>
      <c r="N35" s="433">
        <f>'OUT - CFC - Bunga &amp; Angsuran'!T15</f>
        <v>0</v>
      </c>
      <c r="O35" s="433">
        <f>'OUT - CFC - Bunga &amp; Angsuran'!U15</f>
        <v>0</v>
      </c>
      <c r="P35" s="433">
        <f>'OUT - CFC - Bunga &amp; Angsuran'!V15</f>
        <v>0</v>
      </c>
      <c r="Q35" s="433">
        <f>'OUT - CFC - Bunga &amp; Angsuran'!W15</f>
        <v>0</v>
      </c>
      <c r="R35" s="433">
        <f>'OUT - CFC - Bunga &amp; Angsuran'!X15</f>
        <v>0</v>
      </c>
      <c r="S35" s="520">
        <f t="shared" si="3"/>
        <v>0</v>
      </c>
    </row>
    <row r="36" spans="1:19">
      <c r="A36" s="477" t="s">
        <v>50</v>
      </c>
      <c r="B36" s="122" t="s">
        <v>100</v>
      </c>
      <c r="C36" s="433">
        <f>'OUT - TEP - Cost Of Revenue'!H27</f>
        <v>891062236.70270276</v>
      </c>
      <c r="D36" s="433">
        <f>'OUT - TEP - Cost Of Revenue'!I27</f>
        <v>0</v>
      </c>
      <c r="E36" s="433">
        <f>'OUT - TEP - Cost Of Revenue'!J27</f>
        <v>0</v>
      </c>
      <c r="F36" s="433">
        <f>'OUT - TEP - Cost Of Revenue'!K27</f>
        <v>0</v>
      </c>
      <c r="G36" s="433">
        <f>'OUT - TEP - Cost Of Revenue'!L27</f>
        <v>276735094</v>
      </c>
      <c r="H36" s="433">
        <f>'OUT - TEP - Cost Of Revenue'!M27</f>
        <v>0</v>
      </c>
      <c r="I36" s="433">
        <f>'OUT - TEP - Cost Of Revenue'!N27</f>
        <v>292843064.05405402</v>
      </c>
      <c r="J36" s="433">
        <f>'OUT - TEP - Cost Of Revenue'!O27</f>
        <v>0</v>
      </c>
      <c r="K36" s="433">
        <f>'OUT - TEP - Cost Of Revenue'!P27</f>
        <v>0</v>
      </c>
      <c r="L36" s="518">
        <f>'OUT - TEP - Cost Of Revenue'!Q27</f>
        <v>0</v>
      </c>
      <c r="M36" s="433">
        <f>'OUT - TEP - Cost Of Revenue'!R27</f>
        <v>0</v>
      </c>
      <c r="N36" s="433">
        <f>'OUT - TEP - Cost Of Revenue'!S27</f>
        <v>37750000</v>
      </c>
      <c r="O36" s="433">
        <f>'OUT - TEP - Cost Of Revenue'!T27</f>
        <v>0</v>
      </c>
      <c r="P36" s="433">
        <f>'OUT - TEP - Cost Of Revenue'!U27</f>
        <v>80882500</v>
      </c>
      <c r="Q36" s="433">
        <f>'OUT - TEP - Cost Of Revenue'!V27</f>
        <v>0</v>
      </c>
      <c r="R36" s="433">
        <f>'OUT - TEP - Cost Of Revenue'!W27</f>
        <v>0</v>
      </c>
      <c r="S36" s="728">
        <f t="shared" si="3"/>
        <v>1579272894.7567568</v>
      </c>
    </row>
    <row r="37" spans="1:19">
      <c r="A37" s="477" t="s">
        <v>52</v>
      </c>
      <c r="B37" s="122" t="s">
        <v>79</v>
      </c>
      <c r="C37" s="478">
        <f>'OUT - CFC - Hutang Usaha'!H103</f>
        <v>0</v>
      </c>
      <c r="D37" s="478">
        <f>'OUT - CFC - Hutang Usaha'!I103</f>
        <v>0</v>
      </c>
      <c r="E37" s="478">
        <f>'OUT - CFC - Hutang Usaha'!J103</f>
        <v>0</v>
      </c>
      <c r="F37" s="478">
        <f>'OUT - CFC - Hutang Usaha'!K103</f>
        <v>18650000</v>
      </c>
      <c r="G37" s="478">
        <f>'OUT - CFC - Hutang Usaha'!L103</f>
        <v>1014560576</v>
      </c>
      <c r="H37" s="478">
        <f>'OUT - CFC - Hutang Usaha'!M103</f>
        <v>0</v>
      </c>
      <c r="I37" s="478">
        <f>'OUT - CFC - Hutang Usaha'!N103</f>
        <v>203483000</v>
      </c>
      <c r="J37" s="478">
        <f>'OUT - CFC - Hutang Usaha'!O103</f>
        <v>0</v>
      </c>
      <c r="K37" s="478">
        <f>'OUT - CFC - Hutang Usaha'!P103</f>
        <v>0</v>
      </c>
      <c r="L37" s="478">
        <f>'OUT - CFC - Hutang Usaha'!Q103</f>
        <v>0</v>
      </c>
      <c r="M37" s="478">
        <f>'OUT - CFC - Hutang Usaha'!R103</f>
        <v>0</v>
      </c>
      <c r="N37" s="478">
        <f>'OUT - CFC - Hutang Usaha'!S103</f>
        <v>269337350</v>
      </c>
      <c r="O37" s="478">
        <f>'OUT - CFC - Hutang Usaha'!T103</f>
        <v>0</v>
      </c>
      <c r="P37" s="478">
        <f>'OUT - CFC - Hutang Usaha'!U103</f>
        <v>257703137</v>
      </c>
      <c r="Q37" s="478">
        <f>'OUT - CFC - Hutang Usaha'!V103</f>
        <v>0</v>
      </c>
      <c r="R37" s="478">
        <f>'OUT - CFC - Hutang Usaha'!W103</f>
        <v>0</v>
      </c>
      <c r="S37" s="728">
        <f t="shared" si="3"/>
        <v>1763734063</v>
      </c>
    </row>
    <row r="38" spans="1:19">
      <c r="A38" s="477" t="s">
        <v>54</v>
      </c>
      <c r="B38" s="122" t="s">
        <v>82</v>
      </c>
      <c r="C38" s="478">
        <f>'OUT - HR - Pemberian Pinjaman'!D12</f>
        <v>0</v>
      </c>
      <c r="D38" s="433">
        <f>'OUT - HR - Pemberian Pinjaman'!E12</f>
        <v>0</v>
      </c>
      <c r="E38" s="433">
        <f>'OUT - HR - Pemberian Pinjaman'!F12</f>
        <v>0</v>
      </c>
      <c r="F38" s="433">
        <f>'OUT - HR - Pemberian Pinjaman'!G12</f>
        <v>0</v>
      </c>
      <c r="G38" s="433">
        <f>'OUT - HR - Pemberian Pinjaman'!H12</f>
        <v>0</v>
      </c>
      <c r="H38" s="433">
        <f>'OUT - HR - Pemberian Pinjaman'!I12</f>
        <v>0</v>
      </c>
      <c r="I38" s="433">
        <f>'OUT - HR - Pemberian Pinjaman'!J12</f>
        <v>0</v>
      </c>
      <c r="J38" s="433">
        <f>'OUT - HR - Pemberian Pinjaman'!K12</f>
        <v>0</v>
      </c>
      <c r="K38" s="433">
        <f>'OUT - HR - Pemberian Pinjaman'!L12</f>
        <v>0</v>
      </c>
      <c r="L38" s="433">
        <f>'OUT - HR - Pemberian Pinjaman'!M12</f>
        <v>0</v>
      </c>
      <c r="M38" s="433">
        <f>'OUT - HR - Pemberian Pinjaman'!N12</f>
        <v>0</v>
      </c>
      <c r="N38" s="433">
        <f>'OUT - HR - Pemberian Pinjaman'!O12</f>
        <v>0</v>
      </c>
      <c r="O38" s="433">
        <f>'OUT - HR - Pemberian Pinjaman'!P12</f>
        <v>0</v>
      </c>
      <c r="P38" s="433">
        <f>'OUT - HR - Pemberian Pinjaman'!Q12</f>
        <v>0</v>
      </c>
      <c r="Q38" s="433">
        <f>'OUT - HR - Pemberian Pinjaman'!R12</f>
        <v>0</v>
      </c>
      <c r="R38" s="433">
        <f>'OUT - HR - Pemberian Pinjaman'!S12</f>
        <v>0</v>
      </c>
      <c r="S38" s="502">
        <f t="shared" si="3"/>
        <v>0</v>
      </c>
    </row>
    <row r="39" spans="1:19">
      <c r="A39" s="477" t="s">
        <v>56</v>
      </c>
      <c r="B39" s="122" t="s">
        <v>100</v>
      </c>
      <c r="C39" s="433">
        <f>'OUT - TEP - Sales Call'!D12</f>
        <v>0</v>
      </c>
      <c r="D39" s="433">
        <f>'OUT - TEP - Sales Call'!E12</f>
        <v>0</v>
      </c>
      <c r="E39" s="433">
        <f>'OUT - TEP - Sales Call'!F12</f>
        <v>0</v>
      </c>
      <c r="F39" s="433">
        <f>'OUT - TEP - Sales Call'!G12</f>
        <v>0</v>
      </c>
      <c r="G39" s="433">
        <f>'OUT - TEP - Sales Call'!H12</f>
        <v>0</v>
      </c>
      <c r="H39" s="433">
        <f>'OUT - TEP - Sales Call'!I12</f>
        <v>0</v>
      </c>
      <c r="I39" s="433">
        <f>'OUT - TEP - Sales Call'!J12</f>
        <v>0</v>
      </c>
      <c r="J39" s="433">
        <f>'OUT - TEP - Sales Call'!K12</f>
        <v>0</v>
      </c>
      <c r="K39" s="433">
        <f>'OUT - TEP - Sales Call'!L12</f>
        <v>0</v>
      </c>
      <c r="L39" s="433">
        <f>'OUT - TEP - Sales Call'!M12</f>
        <v>0</v>
      </c>
      <c r="M39" s="433">
        <f>'OUT - TEP - Sales Call'!N12</f>
        <v>0</v>
      </c>
      <c r="N39" s="433">
        <f>'OUT - TEP - Sales Call'!O12</f>
        <v>0</v>
      </c>
      <c r="O39" s="433">
        <f>'OUT - TEP - Sales Call'!P12</f>
        <v>0</v>
      </c>
      <c r="P39" s="433">
        <f>'OUT - TEP - Sales Call'!Q12</f>
        <v>0</v>
      </c>
      <c r="Q39" s="433">
        <f>'OUT - TEP - Sales Call'!R12</f>
        <v>0</v>
      </c>
      <c r="R39" s="433">
        <f>'OUT - TEP - Sales Call'!S12</f>
        <v>0</v>
      </c>
      <c r="S39" s="502">
        <f t="shared" si="3"/>
        <v>0</v>
      </c>
    </row>
    <row r="40" spans="1:19">
      <c r="A40" s="125" t="s">
        <v>58</v>
      </c>
      <c r="B40" s="122" t="s">
        <v>79</v>
      </c>
      <c r="C40" s="433">
        <f>'OUT-CFC -Pengem Sunti Modal Own'!D12</f>
        <v>0</v>
      </c>
      <c r="D40" s="433">
        <f>'OUT-CFC -Pengem Sunti Modal Own'!E12</f>
        <v>0</v>
      </c>
      <c r="E40" s="433">
        <f>'OUT-CFC -Pengem Sunti Modal Own'!F12</f>
        <v>0</v>
      </c>
      <c r="F40" s="433">
        <f>'OUT-CFC -Pengem Sunti Modal Own'!G12</f>
        <v>0</v>
      </c>
      <c r="G40" s="433">
        <f>'OUT-CFC -Pengem Sunti Modal Own'!H12</f>
        <v>0</v>
      </c>
      <c r="H40" s="433">
        <f>'OUT-CFC -Pengem Sunti Modal Own'!I12</f>
        <v>0</v>
      </c>
      <c r="I40" s="433">
        <f>'OUT-CFC -Pengem Sunti Modal Own'!J12</f>
        <v>0</v>
      </c>
      <c r="J40" s="433">
        <f>'OUT-CFC -Pengem Sunti Modal Own'!K12</f>
        <v>0</v>
      </c>
      <c r="K40" s="433">
        <f>'OUT-CFC -Pengem Sunti Modal Own'!L12</f>
        <v>0</v>
      </c>
      <c r="L40" s="433">
        <f>'OUT-CFC -Pengem Sunti Modal Own'!M12</f>
        <v>0</v>
      </c>
      <c r="M40" s="433">
        <f>'OUT-CFC -Pengem Sunti Modal Own'!N12</f>
        <v>0</v>
      </c>
      <c r="N40" s="433">
        <f>'OUT-CFC -Pengem Sunti Modal Own'!O12</f>
        <v>0</v>
      </c>
      <c r="O40" s="433">
        <f>'OUT-CFC -Pengem Sunti Modal Own'!P12</f>
        <v>0</v>
      </c>
      <c r="P40" s="433">
        <f>'OUT-CFC -Pengem Sunti Modal Own'!Q12</f>
        <v>0</v>
      </c>
      <c r="Q40" s="433">
        <f>'OUT-CFC -Pengem Sunti Modal Own'!R12</f>
        <v>0</v>
      </c>
      <c r="R40" s="433">
        <f>'OUT-CFC -Pengem Sunti Modal Own'!S12</f>
        <v>0</v>
      </c>
      <c r="S40" s="502">
        <f t="shared" si="3"/>
        <v>0</v>
      </c>
    </row>
    <row r="41" spans="1:19">
      <c r="A41" s="125"/>
      <c r="B41" s="122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502">
        <f t="shared" si="3"/>
        <v>0</v>
      </c>
    </row>
    <row r="42" spans="1:19">
      <c r="A42" s="432" t="s">
        <v>105</v>
      </c>
      <c r="B42" s="378"/>
      <c r="C42" s="479">
        <f>SUM(C19:C40)</f>
        <v>891062236.70270276</v>
      </c>
      <c r="D42" s="479">
        <f t="shared" ref="D42:R42" si="4">SUM(D19:D40)</f>
        <v>0</v>
      </c>
      <c r="E42" s="479">
        <f t="shared" si="4"/>
        <v>0</v>
      </c>
      <c r="F42" s="479">
        <f t="shared" si="4"/>
        <v>18650000</v>
      </c>
      <c r="G42" s="479">
        <f t="shared" si="4"/>
        <v>1426993997.125</v>
      </c>
      <c r="H42" s="479">
        <f t="shared" si="4"/>
        <v>74636000</v>
      </c>
      <c r="I42" s="479">
        <f t="shared" si="4"/>
        <v>704955883.05405402</v>
      </c>
      <c r="J42" s="479">
        <f t="shared" si="4"/>
        <v>2000000</v>
      </c>
      <c r="K42" s="479">
        <f t="shared" si="4"/>
        <v>5500000</v>
      </c>
      <c r="L42" s="479">
        <f t="shared" si="4"/>
        <v>0</v>
      </c>
      <c r="M42" s="479">
        <f t="shared" si="4"/>
        <v>0</v>
      </c>
      <c r="N42" s="479">
        <f t="shared" si="4"/>
        <v>358138055</v>
      </c>
      <c r="O42" s="479">
        <f t="shared" si="4"/>
        <v>0</v>
      </c>
      <c r="P42" s="479">
        <f t="shared" si="4"/>
        <v>558067119</v>
      </c>
      <c r="Q42" s="479">
        <f t="shared" si="4"/>
        <v>0</v>
      </c>
      <c r="R42" s="479">
        <f t="shared" si="4"/>
        <v>285000000</v>
      </c>
      <c r="S42" s="480">
        <f>SUM(S19:S41)</f>
        <v>4325003290.8817568</v>
      </c>
    </row>
    <row r="43" spans="1:19" s="384" customFormat="1">
      <c r="A43" s="382"/>
      <c r="B43" s="383"/>
      <c r="C43" s="491"/>
      <c r="D43" s="491"/>
      <c r="E43" s="491"/>
      <c r="F43" s="491"/>
      <c r="G43" s="491"/>
      <c r="H43" s="491"/>
      <c r="I43" s="491"/>
      <c r="J43" s="491"/>
      <c r="K43" s="491"/>
      <c r="L43" s="491"/>
      <c r="M43" s="491"/>
      <c r="N43" s="491"/>
      <c r="O43" s="491"/>
      <c r="P43" s="491"/>
      <c r="Q43" s="491"/>
      <c r="R43" s="491"/>
      <c r="S43" s="502">
        <f t="shared" ref="S43:S50" si="5">SUM(C43:R43)</f>
        <v>0</v>
      </c>
    </row>
    <row r="44" spans="1:19">
      <c r="A44" s="6" t="s">
        <v>60</v>
      </c>
      <c r="B44" s="481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502">
        <f t="shared" si="5"/>
        <v>0</v>
      </c>
    </row>
    <row r="45" spans="1:19" ht="25.5">
      <c r="A45" s="126" t="s">
        <v>61</v>
      </c>
      <c r="B45" s="123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502">
        <f t="shared" si="5"/>
        <v>0</v>
      </c>
    </row>
    <row r="46" spans="1:19">
      <c r="A46" s="126" t="s">
        <v>62</v>
      </c>
      <c r="B46" s="123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502">
        <f t="shared" si="5"/>
        <v>0</v>
      </c>
    </row>
    <row r="47" spans="1:19">
      <c r="A47" s="126" t="s">
        <v>63</v>
      </c>
      <c r="B47" s="123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502">
        <f t="shared" si="5"/>
        <v>0</v>
      </c>
    </row>
    <row r="48" spans="1:19" ht="25.5">
      <c r="A48" s="126" t="s">
        <v>64</v>
      </c>
      <c r="B48" s="123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502">
        <f t="shared" si="5"/>
        <v>0</v>
      </c>
    </row>
    <row r="49" spans="1:19">
      <c r="A49" s="126" t="s">
        <v>65</v>
      </c>
      <c r="B49" s="123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502">
        <f t="shared" si="5"/>
        <v>0</v>
      </c>
    </row>
    <row r="50" spans="1:19">
      <c r="A50" s="126" t="s">
        <v>58</v>
      </c>
      <c r="B50" s="123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502">
        <f t="shared" si="5"/>
        <v>0</v>
      </c>
    </row>
    <row r="51" spans="1:19">
      <c r="A51" s="434" t="s">
        <v>66</v>
      </c>
      <c r="B51" s="379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638">
        <f>SUM(S43:S50)</f>
        <v>0</v>
      </c>
    </row>
    <row r="52" spans="1:19">
      <c r="A52" s="435"/>
      <c r="B52" s="229"/>
      <c r="S52" s="477"/>
    </row>
    <row r="53" spans="1:19">
      <c r="A53" s="436" t="s">
        <v>67</v>
      </c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500">
        <f ca="1">SUM(B53:B53:S53)</f>
        <v>0</v>
      </c>
    </row>
    <row r="54" spans="1:19">
      <c r="A54" s="6" t="s">
        <v>68</v>
      </c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502">
        <f t="shared" ref="S54:S60" si="6">SUM(C54:R54)</f>
        <v>0</v>
      </c>
    </row>
    <row r="55" spans="1:19">
      <c r="A55" s="126" t="s">
        <v>69</v>
      </c>
      <c r="B55" s="43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502">
        <f t="shared" si="6"/>
        <v>0</v>
      </c>
    </row>
    <row r="56" spans="1:19">
      <c r="A56" s="126" t="s">
        <v>70</v>
      </c>
      <c r="B56" s="43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502">
        <f t="shared" si="6"/>
        <v>0</v>
      </c>
    </row>
    <row r="57" spans="1:19">
      <c r="A57" s="126" t="s">
        <v>71</v>
      </c>
      <c r="B57" s="43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502">
        <f t="shared" si="6"/>
        <v>0</v>
      </c>
    </row>
    <row r="58" spans="1:19">
      <c r="A58" s="126" t="s">
        <v>72</v>
      </c>
      <c r="B58" s="43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502">
        <f t="shared" si="6"/>
        <v>0</v>
      </c>
    </row>
    <row r="59" spans="1:19">
      <c r="A59" s="126" t="s">
        <v>73</v>
      </c>
      <c r="B59" s="43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502">
        <f t="shared" si="6"/>
        <v>0</v>
      </c>
    </row>
    <row r="60" spans="1:19">
      <c r="S60" s="502">
        <f t="shared" si="6"/>
        <v>0</v>
      </c>
    </row>
    <row r="61" spans="1:19">
      <c r="A61" s="436" t="s">
        <v>74</v>
      </c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500">
        <f ca="1">SUM(B61:B61:S61)</f>
        <v>0</v>
      </c>
    </row>
    <row r="62" spans="1:19">
      <c r="A62" s="6" t="s">
        <v>75</v>
      </c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502">
        <f>SUM(C62:R62)</f>
        <v>0</v>
      </c>
    </row>
    <row r="63" spans="1:19" ht="13.5" customHeight="1">
      <c r="A63" s="126" t="s">
        <v>76</v>
      </c>
      <c r="B63" s="43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502">
        <f>SUM(C63:R63)</f>
        <v>0</v>
      </c>
    </row>
    <row r="64" spans="1:19"/>
    <row r="65" spans="1:1"/>
    <row r="67" spans="1:1">
      <c r="A67" s="436" t="s">
        <v>74</v>
      </c>
    </row>
  </sheetData>
  <mergeCells count="2">
    <mergeCell ref="A1:B1"/>
    <mergeCell ref="A2:B2"/>
  </mergeCells>
  <conditionalFormatting sqref="B7 B10:R10">
    <cfRule type="cellIs" dxfId="1" priority="1" stopIfTrue="1" operator="lessThanOrEqual">
      <formula>$B$7</formula>
    </cfRule>
  </conditionalFormatting>
  <dataValidations count="6">
    <dataValidation type="decimal" operator="lessThanOrEqual" allowBlank="1" showInputMessage="1" sqref="B7 C10:R10" xr:uid="{63456770-AA57-4495-8E54-021DA2353F1D}">
      <formula1>10000000</formula1>
    </dataValidation>
    <dataValidation type="date" allowBlank="1" showInputMessage="1" showErrorMessage="1" error="Please enter a valid date." sqref="B6" xr:uid="{D3556206-A373-422B-93D8-644B39897432}">
      <formula1>1</formula1>
      <formula2>73415</formula2>
    </dataValidation>
    <dataValidation type="decimal" operator="lessThanOrEqual" allowBlank="1" showInputMessage="1" showErrorMessage="1" sqref="B51 B16" xr:uid="{9226D80B-15A8-43AF-853F-14B91DA31570}">
      <formula1>10000000</formula1>
    </dataValidation>
    <dataValidation operator="greaterThanOrEqual" allowBlank="1" showInputMessage="1" showErrorMessage="1" error="Please enter a number greater than zero." sqref="B9" xr:uid="{5AFEDAE5-9720-4845-9A04-5EE3216EC05B}"/>
    <dataValidation type="decimal" allowBlank="1" showInputMessage="1" sqref="B10:B15 B52:B59 E43:R43 C53:R59 C12:R16 C51:R51 B17:B50 E42:S42 C42:D43 C18:R40" xr:uid="{251B32B3-7EC9-4450-AB51-A87780C1176C}">
      <formula1>-10000000</formula1>
      <formula2>10000000</formula2>
    </dataValidation>
    <dataValidation type="decimal" allowBlank="1" showInputMessage="1" prompt="Enter materials and supplies included in cost of goods sold (COGS)." sqref="C21:R40" xr:uid="{3712802C-DC63-48CD-BDD7-1546F84B21E3}">
      <formula1>-10000000</formula1>
      <formula2>10000000</formula2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6D5-99FE-4D60-B0F5-38DF7946C16A}">
  <sheetPr codeName="Sheet3">
    <tabColor theme="5" tint="0.39997558519241921"/>
  </sheetPr>
  <dimension ref="A1:U51"/>
  <sheetViews>
    <sheetView zoomScaleNormal="100" workbookViewId="0">
      <pane xSplit="3" ySplit="6" topLeftCell="D18" activePane="bottomRight" state="frozen"/>
      <selection pane="topRight" activeCell="D1" sqref="D1"/>
      <selection pane="bottomLeft" activeCell="A8" sqref="A8"/>
      <selection pane="bottomRight" activeCell="J9" sqref="J9"/>
    </sheetView>
  </sheetViews>
  <sheetFormatPr defaultColWidth="8" defaultRowHeight="12.75"/>
  <cols>
    <col min="1" max="1" width="3.85546875" style="307" customWidth="1"/>
    <col min="2" max="2" width="21.140625" style="274" customWidth="1"/>
    <col min="3" max="3" width="11.5703125" style="40" hidden="1" customWidth="1"/>
    <col min="4" max="4" width="21.42578125" style="15" customWidth="1"/>
    <col min="5" max="21" width="13.7109375" style="15" customWidth="1"/>
    <col min="22" max="16384" width="8" style="15"/>
  </cols>
  <sheetData>
    <row r="1" spans="1:21" ht="42" customHeight="1">
      <c r="B1" s="673"/>
      <c r="C1" s="11"/>
      <c r="D1" s="12"/>
      <c r="E1" s="150"/>
      <c r="F1" s="14" t="s">
        <v>108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50.1" customHeight="1">
      <c r="B2" s="671"/>
      <c r="C2" s="11"/>
      <c r="D2" s="17"/>
      <c r="E2" s="151"/>
      <c r="F2" s="14" t="s">
        <v>110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41.45" customHeight="1">
      <c r="B3" s="671"/>
      <c r="C3" s="11"/>
      <c r="D3" s="18"/>
      <c r="E3" s="152"/>
      <c r="F3" s="14" t="s">
        <v>112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11.25">
      <c r="B4" s="671"/>
      <c r="C4" s="11"/>
      <c r="D4" s="175"/>
      <c r="E4" s="20" t="s">
        <v>114</v>
      </c>
      <c r="F4" s="20" t="s">
        <v>115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>
      <c r="C5" s="15"/>
      <c r="E5" s="496" t="s">
        <v>8</v>
      </c>
      <c r="F5" s="350" t="s">
        <v>9</v>
      </c>
      <c r="G5" s="350" t="s">
        <v>10</v>
      </c>
      <c r="H5" s="295" t="s">
        <v>11</v>
      </c>
      <c r="I5" s="353" t="s">
        <v>12</v>
      </c>
      <c r="J5" s="295" t="s">
        <v>13</v>
      </c>
      <c r="K5" s="353" t="s">
        <v>14</v>
      </c>
      <c r="L5" s="496" t="s">
        <v>8</v>
      </c>
      <c r="M5" s="350" t="s">
        <v>9</v>
      </c>
      <c r="N5" s="350" t="s">
        <v>10</v>
      </c>
      <c r="O5" s="295" t="s">
        <v>11</v>
      </c>
      <c r="P5" s="353" t="s">
        <v>12</v>
      </c>
      <c r="Q5" s="295" t="s">
        <v>13</v>
      </c>
      <c r="R5" s="353" t="s">
        <v>14</v>
      </c>
      <c r="S5" s="496" t="s">
        <v>8</v>
      </c>
      <c r="T5" s="350" t="s">
        <v>9</v>
      </c>
      <c r="U5" s="1"/>
    </row>
    <row r="6" spans="1:21">
      <c r="B6" s="358" t="s">
        <v>116</v>
      </c>
      <c r="C6" s="358" t="s">
        <v>117</v>
      </c>
      <c r="D6" s="4" t="s">
        <v>118</v>
      </c>
      <c r="E6" s="302">
        <v>45947</v>
      </c>
      <c r="F6" s="302">
        <v>45948</v>
      </c>
      <c r="G6" s="302">
        <v>45949</v>
      </c>
      <c r="H6" s="302">
        <v>45950</v>
      </c>
      <c r="I6" s="302">
        <v>45951</v>
      </c>
      <c r="J6" s="302">
        <v>45952</v>
      </c>
      <c r="K6" s="302">
        <v>45953</v>
      </c>
      <c r="L6" s="302">
        <v>45954</v>
      </c>
      <c r="M6" s="302">
        <v>45955</v>
      </c>
      <c r="N6" s="302">
        <v>45956</v>
      </c>
      <c r="O6" s="302">
        <v>45957</v>
      </c>
      <c r="P6" s="302">
        <v>45958</v>
      </c>
      <c r="Q6" s="302">
        <v>45959</v>
      </c>
      <c r="R6" s="302">
        <v>45960</v>
      </c>
      <c r="S6" s="302">
        <v>45961</v>
      </c>
      <c r="T6" s="302">
        <v>45962</v>
      </c>
      <c r="U6" s="483" t="s">
        <v>28</v>
      </c>
    </row>
    <row r="7" spans="1:21" s="39" customFormat="1" ht="35.1" customHeight="1">
      <c r="A7" s="307"/>
      <c r="B7" s="673" t="s">
        <v>119</v>
      </c>
      <c r="C7" s="669">
        <v>115426850</v>
      </c>
      <c r="D7" s="26"/>
      <c r="E7" s="420"/>
      <c r="F7" s="420"/>
      <c r="G7" s="420"/>
      <c r="H7" s="420"/>
      <c r="I7" s="420"/>
      <c r="J7" s="420"/>
      <c r="K7" s="420"/>
      <c r="L7" s="420"/>
      <c r="M7" s="420"/>
      <c r="N7" s="420"/>
      <c r="O7" s="420"/>
      <c r="P7" s="420"/>
      <c r="Q7" s="420"/>
      <c r="R7" s="420"/>
      <c r="S7" s="670">
        <v>115426850</v>
      </c>
      <c r="T7" s="420"/>
      <c r="U7" s="420">
        <f>SUM(E7:T7)</f>
        <v>115426850</v>
      </c>
    </row>
    <row r="8" spans="1:21" s="39" customFormat="1" ht="56.25" hidden="1">
      <c r="A8" s="307"/>
      <c r="B8" s="671" t="s">
        <v>120</v>
      </c>
      <c r="C8" s="527">
        <v>20000000</v>
      </c>
      <c r="D8" s="26"/>
      <c r="E8" s="505"/>
      <c r="F8" s="27"/>
      <c r="G8" s="27"/>
      <c r="H8" s="672">
        <v>20000000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420">
        <f t="shared" ref="U8:U48" si="0">SUM(E8:T8)</f>
        <v>20000000</v>
      </c>
    </row>
    <row r="9" spans="1:21" s="39" customFormat="1" ht="33.75">
      <c r="A9" s="307"/>
      <c r="B9" s="671" t="s">
        <v>121</v>
      </c>
      <c r="C9" s="527">
        <v>144437585</v>
      </c>
      <c r="D9" s="26"/>
      <c r="E9" s="505"/>
      <c r="F9" s="27"/>
      <c r="G9" s="27"/>
      <c r="H9" s="27"/>
      <c r="I9" s="27"/>
      <c r="J9" s="27">
        <v>50000000</v>
      </c>
      <c r="K9" s="27"/>
      <c r="L9" s="27"/>
      <c r="M9" s="27"/>
      <c r="N9" s="27"/>
      <c r="O9" s="27"/>
      <c r="P9" s="27"/>
      <c r="Q9" s="27"/>
      <c r="R9" s="27"/>
      <c r="S9" s="27"/>
      <c r="T9" s="672">
        <v>144437585</v>
      </c>
      <c r="U9" s="420">
        <f t="shared" si="0"/>
        <v>194437585</v>
      </c>
    </row>
    <row r="10" spans="1:21" s="39" customFormat="1" ht="33.75">
      <c r="A10" s="307"/>
      <c r="B10" s="671" t="s">
        <v>122</v>
      </c>
      <c r="C10" s="527">
        <v>8325000</v>
      </c>
      <c r="D10" s="26"/>
      <c r="E10" s="505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672">
        <v>8325000</v>
      </c>
      <c r="U10" s="420">
        <f t="shared" si="0"/>
        <v>8325000</v>
      </c>
    </row>
    <row r="11" spans="1:21" s="39" customFormat="1" ht="33.75">
      <c r="A11" s="307"/>
      <c r="B11" s="671" t="s">
        <v>123</v>
      </c>
      <c r="C11" s="527">
        <v>45500363</v>
      </c>
      <c r="D11" s="26"/>
      <c r="E11" s="505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672">
        <v>45500363</v>
      </c>
      <c r="T11" s="27"/>
      <c r="U11" s="420">
        <f t="shared" si="0"/>
        <v>45500363</v>
      </c>
    </row>
    <row r="12" spans="1:21" s="39" customFormat="1" ht="33.75">
      <c r="A12" s="307"/>
      <c r="B12" s="671" t="s">
        <v>124</v>
      </c>
      <c r="C12" s="527">
        <v>850267131</v>
      </c>
      <c r="D12" s="26"/>
      <c r="E12" s="505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672">
        <v>850267131</v>
      </c>
      <c r="U12" s="420">
        <f t="shared" si="0"/>
        <v>850267131</v>
      </c>
    </row>
    <row r="13" spans="1:21" s="39" customFormat="1" ht="67.5" hidden="1">
      <c r="A13" s="307"/>
      <c r="B13" s="671" t="s">
        <v>125</v>
      </c>
      <c r="C13" s="527">
        <v>87198216</v>
      </c>
      <c r="D13" s="26"/>
      <c r="E13" s="505"/>
      <c r="F13" s="27"/>
      <c r="G13" s="27"/>
      <c r="H13" s="27"/>
      <c r="I13" s="27"/>
      <c r="J13" s="27"/>
      <c r="K13" s="27"/>
      <c r="L13" s="672">
        <v>87198216</v>
      </c>
      <c r="M13" s="27"/>
      <c r="N13" s="27"/>
      <c r="O13" s="27"/>
      <c r="P13" s="27"/>
      <c r="Q13" s="27"/>
      <c r="R13" s="27"/>
      <c r="S13" s="27"/>
      <c r="T13" s="27"/>
      <c r="U13" s="420">
        <f t="shared" si="0"/>
        <v>87198216</v>
      </c>
    </row>
    <row r="14" spans="1:21" s="39" customFormat="1" ht="67.5">
      <c r="A14" s="307"/>
      <c r="B14" s="671" t="s">
        <v>126</v>
      </c>
      <c r="C14" s="527">
        <v>574887500</v>
      </c>
      <c r="D14" s="26"/>
      <c r="E14" s="505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672">
        <v>574887500</v>
      </c>
      <c r="T14" s="27"/>
      <c r="U14" s="420">
        <f t="shared" si="0"/>
        <v>574887500</v>
      </c>
    </row>
    <row r="15" spans="1:21" s="39" customFormat="1" ht="45">
      <c r="A15" s="307"/>
      <c r="B15" s="671" t="s">
        <v>127</v>
      </c>
      <c r="C15" s="527">
        <v>95825400</v>
      </c>
      <c r="D15" s="26"/>
      <c r="E15" s="505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672">
        <v>95825400</v>
      </c>
      <c r="T15" s="27"/>
      <c r="U15" s="420">
        <f t="shared" si="0"/>
        <v>95825400</v>
      </c>
    </row>
    <row r="16" spans="1:21" s="39" customFormat="1" ht="56.25" hidden="1">
      <c r="A16" s="307"/>
      <c r="B16" s="673" t="s">
        <v>128</v>
      </c>
      <c r="C16" s="669">
        <v>77025563</v>
      </c>
      <c r="D16" s="26"/>
      <c r="E16" s="420"/>
      <c r="F16" s="420"/>
      <c r="G16" s="420"/>
      <c r="H16" s="420"/>
      <c r="I16" s="420"/>
      <c r="J16" s="420"/>
      <c r="K16" s="420"/>
      <c r="L16" s="420"/>
      <c r="M16" s="420"/>
      <c r="N16" s="420"/>
      <c r="O16" s="670">
        <v>77025563</v>
      </c>
      <c r="P16" s="420"/>
      <c r="Q16" s="420"/>
      <c r="R16" s="420"/>
      <c r="S16" s="420"/>
      <c r="T16" s="420"/>
      <c r="U16" s="420">
        <f t="shared" si="0"/>
        <v>77025563</v>
      </c>
    </row>
    <row r="17" spans="1:21" s="39" customFormat="1" ht="45" hidden="1">
      <c r="A17" s="307"/>
      <c r="B17" s="673" t="s">
        <v>129</v>
      </c>
      <c r="C17" s="669">
        <v>5134305</v>
      </c>
      <c r="D17" s="26"/>
      <c r="E17" s="420"/>
      <c r="F17" s="420"/>
      <c r="G17" s="420"/>
      <c r="H17" s="420"/>
      <c r="I17" s="420"/>
      <c r="J17" s="420"/>
      <c r="K17" s="670">
        <v>5134305</v>
      </c>
      <c r="L17" s="420"/>
      <c r="M17" s="420"/>
      <c r="N17" s="420"/>
      <c r="O17" s="420"/>
      <c r="P17" s="420"/>
      <c r="Q17" s="420"/>
      <c r="R17" s="420"/>
      <c r="S17" s="420"/>
      <c r="T17" s="421"/>
      <c r="U17" s="420">
        <f t="shared" si="0"/>
        <v>5134305</v>
      </c>
    </row>
    <row r="18" spans="1:21" s="39" customFormat="1" ht="45">
      <c r="A18" s="307"/>
      <c r="B18" s="673" t="s">
        <v>130</v>
      </c>
      <c r="C18" s="669">
        <v>5134305</v>
      </c>
      <c r="D18" s="26"/>
      <c r="E18" s="420"/>
      <c r="F18" s="420"/>
      <c r="G18" s="420"/>
      <c r="H18" s="420"/>
      <c r="I18" s="420"/>
      <c r="J18" s="420"/>
      <c r="K18" s="420"/>
      <c r="L18" s="420"/>
      <c r="M18" s="420"/>
      <c r="N18" s="420"/>
      <c r="O18" s="420"/>
      <c r="P18" s="420"/>
      <c r="Q18" s="420"/>
      <c r="R18" s="420"/>
      <c r="S18" s="420"/>
      <c r="T18" s="670">
        <v>5134305</v>
      </c>
      <c r="U18" s="420">
        <f t="shared" si="0"/>
        <v>5134305</v>
      </c>
    </row>
    <row r="19" spans="1:21" s="39" customFormat="1" ht="45">
      <c r="A19" s="307"/>
      <c r="B19" s="673" t="s">
        <v>131</v>
      </c>
      <c r="C19" s="669">
        <v>138845685</v>
      </c>
      <c r="D19" s="26"/>
      <c r="E19" s="420"/>
      <c r="F19" s="420"/>
      <c r="G19" s="420"/>
      <c r="H19" s="420"/>
      <c r="I19" s="420"/>
      <c r="J19" s="420"/>
      <c r="K19" s="420"/>
      <c r="L19" s="420"/>
      <c r="M19" s="420"/>
      <c r="N19" s="420"/>
      <c r="O19" s="420"/>
      <c r="P19" s="420"/>
      <c r="Q19" s="420"/>
      <c r="R19" s="420"/>
      <c r="S19" s="420"/>
      <c r="T19" s="670">
        <v>138845685</v>
      </c>
      <c r="U19" s="420">
        <f t="shared" si="0"/>
        <v>138845685</v>
      </c>
    </row>
    <row r="20" spans="1:21" s="39" customFormat="1" ht="56.25">
      <c r="A20" s="307"/>
      <c r="B20" s="673" t="s">
        <v>132</v>
      </c>
      <c r="C20" s="669">
        <v>36324750</v>
      </c>
      <c r="D20" s="26"/>
      <c r="E20" s="420"/>
      <c r="F20" s="420"/>
      <c r="G20" s="420"/>
      <c r="H20" s="420"/>
      <c r="I20" s="420"/>
      <c r="J20" s="420"/>
      <c r="K20" s="420"/>
      <c r="L20" s="420"/>
      <c r="M20" s="420"/>
      <c r="N20" s="420"/>
      <c r="O20" s="420"/>
      <c r="P20" s="420"/>
      <c r="Q20" s="420"/>
      <c r="R20" s="420"/>
      <c r="S20" s="420"/>
      <c r="T20" s="670">
        <v>36324750</v>
      </c>
      <c r="U20" s="420">
        <f t="shared" si="0"/>
        <v>36324750</v>
      </c>
    </row>
    <row r="21" spans="1:21" s="39" customFormat="1" ht="56.25">
      <c r="A21" s="307"/>
      <c r="B21" s="673" t="s">
        <v>133</v>
      </c>
      <c r="C21" s="669">
        <v>15567750</v>
      </c>
      <c r="D21" s="26"/>
      <c r="E21" s="420"/>
      <c r="F21" s="420"/>
      <c r="G21" s="420"/>
      <c r="H21" s="420"/>
      <c r="I21" s="420"/>
      <c r="J21" s="420"/>
      <c r="K21" s="420"/>
      <c r="L21" s="420"/>
      <c r="M21" s="420"/>
      <c r="N21" s="420"/>
      <c r="O21" s="420"/>
      <c r="P21" s="420"/>
      <c r="Q21" s="420"/>
      <c r="R21" s="420"/>
      <c r="S21" s="420"/>
      <c r="T21" s="670">
        <v>15567750</v>
      </c>
      <c r="U21" s="420">
        <f t="shared" si="0"/>
        <v>15567750</v>
      </c>
    </row>
    <row r="22" spans="1:21" s="39" customFormat="1" ht="56.25" hidden="1">
      <c r="A22" s="307"/>
      <c r="B22" s="673" t="s">
        <v>134</v>
      </c>
      <c r="C22" s="669">
        <v>191003015</v>
      </c>
      <c r="D22" s="26"/>
      <c r="E22" s="420"/>
      <c r="F22" s="420"/>
      <c r="G22" s="420"/>
      <c r="H22" s="420"/>
      <c r="I22" s="420"/>
      <c r="J22" s="670">
        <v>191003015</v>
      </c>
      <c r="K22" s="420"/>
      <c r="L22" s="420"/>
      <c r="M22" s="420"/>
      <c r="N22" s="420"/>
      <c r="O22" s="420"/>
      <c r="P22" s="420"/>
      <c r="Q22" s="420"/>
      <c r="R22" s="420"/>
      <c r="S22" s="420"/>
      <c r="T22" s="420"/>
      <c r="U22" s="420">
        <f t="shared" si="0"/>
        <v>191003015</v>
      </c>
    </row>
    <row r="23" spans="1:21" s="39" customFormat="1" ht="33.75" hidden="1">
      <c r="A23" s="307"/>
      <c r="B23" s="673" t="s">
        <v>135</v>
      </c>
      <c r="C23" s="669">
        <v>109890000</v>
      </c>
      <c r="D23" s="26"/>
      <c r="E23" s="420"/>
      <c r="F23" s="420"/>
      <c r="G23" s="420"/>
      <c r="H23" s="420"/>
      <c r="I23" s="670">
        <v>109890000</v>
      </c>
      <c r="J23" s="420"/>
      <c r="K23" s="420"/>
      <c r="L23" s="420"/>
      <c r="M23" s="420"/>
      <c r="N23" s="420"/>
      <c r="O23" s="420"/>
      <c r="P23" s="420"/>
      <c r="Q23" s="420"/>
      <c r="R23" s="420"/>
      <c r="S23" s="420"/>
      <c r="T23" s="420"/>
      <c r="U23" s="420">
        <f t="shared" si="0"/>
        <v>109890000</v>
      </c>
    </row>
    <row r="24" spans="1:21" s="39" customFormat="1" ht="78.75">
      <c r="A24" s="307"/>
      <c r="B24" s="673" t="s">
        <v>136</v>
      </c>
      <c r="C24" s="669">
        <v>155058600</v>
      </c>
      <c r="D24" s="26"/>
      <c r="E24" s="420"/>
      <c r="F24" s="420"/>
      <c r="G24" s="420"/>
      <c r="H24" s="420"/>
      <c r="I24" s="420"/>
      <c r="J24" s="420"/>
      <c r="K24" s="420"/>
      <c r="L24" s="420"/>
      <c r="M24" s="420"/>
      <c r="N24" s="420"/>
      <c r="O24" s="420"/>
      <c r="P24" s="420"/>
      <c r="Q24" s="420"/>
      <c r="R24" s="420"/>
      <c r="S24" s="420"/>
      <c r="T24" s="670">
        <v>155058600</v>
      </c>
      <c r="U24" s="420">
        <f t="shared" si="0"/>
        <v>155058600</v>
      </c>
    </row>
    <row r="25" spans="1:21" s="39" customFormat="1" ht="78.75">
      <c r="A25" s="307"/>
      <c r="B25" s="673" t="s">
        <v>137</v>
      </c>
      <c r="C25" s="669">
        <v>54945000</v>
      </c>
      <c r="D25" s="26"/>
      <c r="E25" s="420"/>
      <c r="F25" s="420"/>
      <c r="G25" s="420"/>
      <c r="H25" s="420"/>
      <c r="I25" s="420"/>
      <c r="J25" s="420"/>
      <c r="K25" s="420"/>
      <c r="L25" s="420"/>
      <c r="M25" s="420"/>
      <c r="N25" s="420"/>
      <c r="O25" s="420"/>
      <c r="P25" s="420"/>
      <c r="Q25" s="420"/>
      <c r="R25" s="420"/>
      <c r="S25" s="420"/>
      <c r="T25" s="670">
        <v>54945000</v>
      </c>
      <c r="U25" s="420">
        <f t="shared" si="0"/>
        <v>54945000</v>
      </c>
    </row>
    <row r="26" spans="1:21" s="39" customFormat="1" ht="45" hidden="1">
      <c r="A26" s="307"/>
      <c r="B26" s="673" t="s">
        <v>138</v>
      </c>
      <c r="C26" s="669">
        <v>19658000</v>
      </c>
      <c r="D26" s="26"/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  <c r="P26" s="670">
        <v>19658000</v>
      </c>
      <c r="Q26" s="420"/>
      <c r="R26" s="420"/>
      <c r="S26" s="420"/>
      <c r="T26" s="420"/>
      <c r="U26" s="420">
        <f t="shared" si="0"/>
        <v>19658000</v>
      </c>
    </row>
    <row r="27" spans="1:21" s="39" customFormat="1" ht="56.25" hidden="1">
      <c r="A27" s="307"/>
      <c r="B27" s="673" t="s">
        <v>139</v>
      </c>
      <c r="C27" s="669">
        <v>50000000</v>
      </c>
      <c r="D27" s="26"/>
      <c r="E27" s="420"/>
      <c r="F27" s="420"/>
      <c r="G27" s="420"/>
      <c r="H27" s="420"/>
      <c r="I27" s="420"/>
      <c r="J27" s="670">
        <v>50000000</v>
      </c>
      <c r="K27" s="420"/>
      <c r="L27" s="420"/>
      <c r="M27" s="420"/>
      <c r="N27" s="420"/>
      <c r="O27" s="420"/>
      <c r="P27" s="420"/>
      <c r="Q27" s="420"/>
      <c r="R27" s="420"/>
      <c r="S27" s="420"/>
      <c r="T27" s="420"/>
      <c r="U27" s="420">
        <f t="shared" si="0"/>
        <v>50000000</v>
      </c>
    </row>
    <row r="28" spans="1:21" s="39" customFormat="1" ht="33.75" hidden="1">
      <c r="A28" s="307"/>
      <c r="B28" s="673" t="s">
        <v>140</v>
      </c>
      <c r="C28" s="669">
        <v>411443637</v>
      </c>
      <c r="D28" s="26"/>
      <c r="E28" s="420"/>
      <c r="F28" s="420"/>
      <c r="G28" s="420"/>
      <c r="H28" s="670">
        <v>411443637</v>
      </c>
      <c r="I28" s="420"/>
      <c r="J28" s="420"/>
      <c r="K28" s="420"/>
      <c r="L28" s="420"/>
      <c r="M28" s="420"/>
      <c r="N28" s="420"/>
      <c r="O28" s="420"/>
      <c r="P28" s="420"/>
      <c r="Q28" s="420"/>
      <c r="R28" s="420"/>
      <c r="S28" s="420"/>
      <c r="T28" s="420"/>
      <c r="U28" s="420">
        <f t="shared" si="0"/>
        <v>411443637</v>
      </c>
    </row>
    <row r="29" spans="1:21" s="39" customFormat="1" ht="30" hidden="1" customHeight="1">
      <c r="A29" s="307"/>
      <c r="B29" s="673" t="s">
        <v>141</v>
      </c>
      <c r="C29" s="669">
        <v>617165456</v>
      </c>
      <c r="D29" s="26"/>
      <c r="E29" s="420"/>
      <c r="F29" s="420"/>
      <c r="G29" s="420"/>
      <c r="H29" s="420"/>
      <c r="I29" s="420"/>
      <c r="J29" s="420"/>
      <c r="K29" s="420"/>
      <c r="L29" s="420"/>
      <c r="M29" s="420"/>
      <c r="N29" s="420"/>
      <c r="O29" s="420"/>
      <c r="P29" s="420"/>
      <c r="Q29" s="420"/>
      <c r="R29" s="420"/>
      <c r="S29" s="420"/>
      <c r="T29" s="420"/>
      <c r="U29" s="420">
        <f>SUM(E29:T29)</f>
        <v>0</v>
      </c>
    </row>
    <row r="30" spans="1:21" s="39" customFormat="1" ht="30" hidden="1" customHeight="1">
      <c r="A30" s="307"/>
      <c r="B30" s="673" t="s">
        <v>142</v>
      </c>
      <c r="C30" s="669">
        <f>189560250-151648200</f>
        <v>37912050</v>
      </c>
      <c r="D30" s="26"/>
      <c r="E30" s="420"/>
      <c r="F30" s="420"/>
      <c r="G30" s="420"/>
      <c r="H30" s="420"/>
      <c r="I30" s="420"/>
      <c r="J30" s="420"/>
      <c r="K30" s="420"/>
      <c r="L30" s="420"/>
      <c r="M30" s="420"/>
      <c r="N30" s="420"/>
      <c r="O30" s="420"/>
      <c r="P30" s="420"/>
      <c r="Q30" s="420"/>
      <c r="R30" s="420"/>
      <c r="S30" s="420"/>
      <c r="T30" s="420"/>
      <c r="U30" s="420">
        <f>SUM(E30:T30)</f>
        <v>0</v>
      </c>
    </row>
    <row r="31" spans="1:21" s="39" customFormat="1" ht="33.75">
      <c r="A31" s="307"/>
      <c r="B31" s="673" t="s">
        <v>143</v>
      </c>
      <c r="C31" s="669">
        <v>7000000</v>
      </c>
      <c r="D31" s="26"/>
      <c r="E31" s="420"/>
      <c r="F31" s="420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20"/>
      <c r="R31" s="420"/>
      <c r="S31" s="420"/>
      <c r="T31" s="670">
        <v>7000000</v>
      </c>
      <c r="U31" s="420">
        <f t="shared" si="0"/>
        <v>7000000</v>
      </c>
    </row>
    <row r="32" spans="1:21" s="39" customFormat="1" ht="33.75" hidden="1">
      <c r="A32" s="307"/>
      <c r="B32" s="673" t="s">
        <v>144</v>
      </c>
      <c r="C32" s="669">
        <v>199050000</v>
      </c>
      <c r="D32" s="26"/>
      <c r="E32" s="420"/>
      <c r="F32" s="420"/>
      <c r="G32" s="420"/>
      <c r="H32" s="420"/>
      <c r="I32" s="420"/>
      <c r="J32" s="420"/>
      <c r="K32" s="420"/>
      <c r="L32" s="670">
        <v>199050000</v>
      </c>
      <c r="M32" s="420"/>
      <c r="N32" s="420"/>
      <c r="O32" s="420"/>
      <c r="P32" s="420"/>
      <c r="Q32" s="420"/>
      <c r="R32" s="420"/>
      <c r="S32" s="420"/>
      <c r="T32" s="420"/>
      <c r="U32" s="420">
        <f t="shared" si="0"/>
        <v>199050000</v>
      </c>
    </row>
    <row r="33" spans="1:21" s="39" customFormat="1" ht="33.75" hidden="1">
      <c r="A33" s="307"/>
      <c r="B33" s="673" t="s">
        <v>145</v>
      </c>
      <c r="C33" s="669">
        <v>49950000</v>
      </c>
      <c r="D33" s="26"/>
      <c r="E33" s="420"/>
      <c r="F33" s="420"/>
      <c r="G33" s="420"/>
      <c r="H33" s="420"/>
      <c r="I33" s="420"/>
      <c r="J33" s="420"/>
      <c r="K33" s="420"/>
      <c r="L33" s="674">
        <v>49950000</v>
      </c>
      <c r="M33" s="420"/>
      <c r="N33" s="420"/>
      <c r="O33" s="420"/>
      <c r="P33" s="420"/>
      <c r="Q33" s="420"/>
      <c r="R33" s="420"/>
      <c r="S33" s="420"/>
      <c r="T33" s="420"/>
      <c r="U33" s="420">
        <f t="shared" si="0"/>
        <v>49950000</v>
      </c>
    </row>
    <row r="34" spans="1:21" s="39" customFormat="1" ht="33.75" hidden="1">
      <c r="A34" s="307"/>
      <c r="B34" s="673" t="s">
        <v>146</v>
      </c>
      <c r="C34" s="669">
        <v>990000</v>
      </c>
      <c r="D34" s="26"/>
      <c r="E34" s="420"/>
      <c r="F34" s="420"/>
      <c r="G34" s="420"/>
      <c r="H34" s="420"/>
      <c r="I34" s="420"/>
      <c r="J34" s="420"/>
      <c r="K34" s="420"/>
      <c r="L34" s="674">
        <v>990000</v>
      </c>
      <c r="M34" s="420"/>
      <c r="N34" s="420"/>
      <c r="O34" s="420"/>
      <c r="P34" s="420"/>
      <c r="Q34" s="420"/>
      <c r="R34" s="420"/>
      <c r="S34" s="420"/>
      <c r="T34" s="420"/>
      <c r="U34" s="420">
        <f t="shared" si="0"/>
        <v>990000</v>
      </c>
    </row>
    <row r="35" spans="1:21" s="39" customFormat="1" ht="22.5">
      <c r="A35" s="307"/>
      <c r="B35" s="673" t="s">
        <v>147</v>
      </c>
      <c r="C35" s="669">
        <v>442500000</v>
      </c>
      <c r="D35" s="26"/>
      <c r="E35" s="420"/>
      <c r="F35" s="420"/>
      <c r="G35" s="420"/>
      <c r="H35" s="420"/>
      <c r="I35" s="420"/>
      <c r="J35" s="420"/>
      <c r="K35" s="420"/>
      <c r="L35" s="675"/>
      <c r="M35" s="420"/>
      <c r="N35" s="420"/>
      <c r="O35" s="420"/>
      <c r="P35" s="420"/>
      <c r="Q35" s="420"/>
      <c r="R35" s="420"/>
      <c r="S35" s="420"/>
      <c r="T35" s="670">
        <v>442500000</v>
      </c>
      <c r="U35" s="420">
        <f t="shared" si="0"/>
        <v>442500000</v>
      </c>
    </row>
    <row r="36" spans="1:21" s="39" customFormat="1" ht="45" hidden="1">
      <c r="A36" s="307"/>
      <c r="B36" s="673" t="s">
        <v>148</v>
      </c>
      <c r="C36" s="669">
        <v>407008140</v>
      </c>
      <c r="D36" s="26"/>
      <c r="E36" s="420"/>
      <c r="F36" s="420"/>
      <c r="H36" s="670">
        <v>407008140</v>
      </c>
      <c r="I36" s="420"/>
      <c r="J36" s="420"/>
      <c r="K36" s="420"/>
      <c r="L36" s="675"/>
      <c r="M36" s="420"/>
      <c r="N36" s="420"/>
      <c r="O36" s="420"/>
      <c r="P36" s="420"/>
      <c r="Q36" s="420"/>
      <c r="R36" s="420"/>
      <c r="S36" s="420"/>
      <c r="T36" s="420"/>
      <c r="U36" s="420">
        <f t="shared" si="0"/>
        <v>407008140</v>
      </c>
    </row>
    <row r="37" spans="1:21" s="39" customFormat="1" ht="45">
      <c r="A37" s="307"/>
      <c r="B37" s="673" t="s">
        <v>149</v>
      </c>
      <c r="C37" s="669">
        <v>174432060</v>
      </c>
      <c r="D37" s="26"/>
      <c r="E37" s="420"/>
      <c r="F37" s="420"/>
      <c r="G37" s="420"/>
      <c r="H37" s="420"/>
      <c r="I37" s="420"/>
      <c r="J37" s="420"/>
      <c r="K37" s="420"/>
      <c r="L37" s="675"/>
      <c r="M37" s="420"/>
      <c r="N37" s="420"/>
      <c r="O37" s="420"/>
      <c r="P37" s="420"/>
      <c r="Q37" s="420"/>
      <c r="R37" s="420"/>
      <c r="S37" s="420"/>
      <c r="T37" s="670">
        <v>174432060</v>
      </c>
      <c r="U37" s="420">
        <f t="shared" si="0"/>
        <v>174432060</v>
      </c>
    </row>
    <row r="38" spans="1:21" s="39" customFormat="1" ht="56.25">
      <c r="A38" s="307"/>
      <c r="B38" s="673" t="s">
        <v>150</v>
      </c>
      <c r="C38" s="669">
        <v>276975000</v>
      </c>
      <c r="D38" s="26"/>
      <c r="E38" s="420"/>
      <c r="F38" s="420"/>
      <c r="G38" s="420"/>
      <c r="H38" s="420"/>
      <c r="I38" s="420"/>
      <c r="J38" s="420"/>
      <c r="K38" s="420"/>
      <c r="L38" s="675"/>
      <c r="M38" s="420"/>
      <c r="N38" s="420"/>
      <c r="O38" s="420"/>
      <c r="P38" s="420"/>
      <c r="Q38" s="420"/>
      <c r="R38" s="420"/>
      <c r="S38" s="670">
        <v>276975000</v>
      </c>
      <c r="T38" s="420"/>
      <c r="U38" s="420">
        <f t="shared" si="0"/>
        <v>276975000</v>
      </c>
    </row>
    <row r="39" spans="1:21" s="39" customFormat="1" ht="35.450000000000003" customHeight="1">
      <c r="A39" s="307"/>
      <c r="B39" s="673" t="s">
        <v>151</v>
      </c>
      <c r="C39" s="669">
        <v>133235178</v>
      </c>
      <c r="D39" s="26"/>
      <c r="E39" s="420"/>
      <c r="F39" s="464"/>
      <c r="G39" s="420"/>
      <c r="H39" s="420"/>
      <c r="I39" s="420"/>
      <c r="J39" s="420"/>
      <c r="K39" s="420"/>
      <c r="L39" s="674">
        <v>133235178</v>
      </c>
      <c r="M39" s="420"/>
      <c r="N39" s="420"/>
      <c r="O39" s="420"/>
      <c r="P39" s="420"/>
      <c r="Q39" s="420"/>
      <c r="R39" s="420"/>
      <c r="S39" s="420"/>
      <c r="T39" s="420"/>
      <c r="U39" s="420">
        <f t="shared" si="0"/>
        <v>133235178</v>
      </c>
    </row>
    <row r="40" spans="1:21" s="39" customFormat="1" ht="39.950000000000003" customHeight="1">
      <c r="A40" s="307"/>
      <c r="B40" s="673" t="s">
        <v>152</v>
      </c>
      <c r="C40" s="669">
        <v>110562488</v>
      </c>
      <c r="D40" s="26"/>
      <c r="E40" s="420"/>
      <c r="F40" s="420"/>
      <c r="G40" s="420"/>
      <c r="H40" s="420"/>
      <c r="I40" s="420"/>
      <c r="J40" s="420"/>
      <c r="K40" s="420"/>
      <c r="L40" s="674">
        <v>110562488</v>
      </c>
      <c r="M40" s="420"/>
      <c r="N40" s="420"/>
      <c r="O40" s="420"/>
      <c r="P40" s="420"/>
      <c r="Q40" s="420"/>
      <c r="R40" s="420"/>
      <c r="S40" s="420"/>
      <c r="T40" s="420"/>
      <c r="U40" s="420">
        <f t="shared" si="0"/>
        <v>110562488</v>
      </c>
    </row>
    <row r="41" spans="1:21" s="39" customFormat="1" ht="36.950000000000003" customHeight="1">
      <c r="A41" s="307"/>
      <c r="B41" s="673" t="s">
        <v>153</v>
      </c>
      <c r="C41" s="669">
        <v>184859400</v>
      </c>
      <c r="D41" s="26"/>
      <c r="E41" s="420"/>
      <c r="F41" s="420"/>
      <c r="G41" s="420"/>
      <c r="H41" s="420"/>
      <c r="I41" s="420"/>
      <c r="J41" s="420"/>
      <c r="K41" s="420"/>
      <c r="L41" s="674">
        <v>184859400</v>
      </c>
      <c r="M41" s="420"/>
      <c r="N41" s="420"/>
      <c r="O41" s="420"/>
      <c r="P41" s="420"/>
      <c r="Q41" s="420"/>
      <c r="R41" s="420"/>
      <c r="S41" s="420"/>
      <c r="T41" s="420"/>
      <c r="U41" s="420">
        <f t="shared" si="0"/>
        <v>184859400</v>
      </c>
    </row>
    <row r="42" spans="1:21" s="39" customFormat="1" ht="38.450000000000003" customHeight="1">
      <c r="A42" s="307"/>
      <c r="B42" s="673" t="s">
        <v>154</v>
      </c>
      <c r="C42" s="669">
        <v>119993775</v>
      </c>
      <c r="D42" s="26"/>
      <c r="E42" s="420"/>
      <c r="F42" s="420"/>
      <c r="G42" s="420"/>
      <c r="H42" s="420"/>
      <c r="I42" s="420"/>
      <c r="J42" s="420"/>
      <c r="K42" s="420"/>
      <c r="L42" s="674">
        <v>119993775</v>
      </c>
      <c r="M42" s="420"/>
      <c r="N42" s="420"/>
      <c r="O42" s="420"/>
      <c r="P42" s="420"/>
      <c r="Q42" s="420"/>
      <c r="R42" s="420"/>
      <c r="S42" s="420"/>
      <c r="T42" s="420"/>
      <c r="U42" s="420">
        <f t="shared" si="0"/>
        <v>119993775</v>
      </c>
    </row>
    <row r="43" spans="1:21" s="39" customFormat="1" ht="56.25">
      <c r="A43" s="307"/>
      <c r="B43" s="673" t="s">
        <v>155</v>
      </c>
      <c r="C43" s="669">
        <v>1216214291</v>
      </c>
      <c r="D43" s="26"/>
      <c r="E43" s="420"/>
      <c r="F43" s="420"/>
      <c r="G43" s="420"/>
      <c r="H43" s="420"/>
      <c r="I43" s="420"/>
      <c r="J43" s="420"/>
      <c r="K43" s="420"/>
      <c r="L43" s="675"/>
      <c r="M43" s="420"/>
      <c r="N43" s="420"/>
      <c r="O43" s="420"/>
      <c r="P43" s="420"/>
      <c r="Q43" s="420"/>
      <c r="R43" s="420"/>
      <c r="S43" s="420"/>
      <c r="T43" s="670">
        <v>1216214291</v>
      </c>
      <c r="U43" s="420">
        <f t="shared" si="0"/>
        <v>1216214291</v>
      </c>
    </row>
    <row r="44" spans="1:21" s="39" customFormat="1" ht="27" customHeight="1">
      <c r="A44" s="307" t="s">
        <v>711</v>
      </c>
      <c r="B44" s="673" t="s">
        <v>156</v>
      </c>
      <c r="C44" s="669">
        <v>110836275</v>
      </c>
      <c r="D44" s="26"/>
      <c r="E44" s="420"/>
      <c r="F44" s="420"/>
      <c r="G44" s="420"/>
      <c r="H44" s="420"/>
      <c r="I44" s="420"/>
      <c r="J44" s="420"/>
      <c r="K44" s="420"/>
      <c r="L44" s="675"/>
      <c r="M44" s="420"/>
      <c r="N44" s="420"/>
      <c r="O44" s="420"/>
      <c r="P44" s="420"/>
      <c r="Q44" s="420"/>
      <c r="R44" s="420"/>
      <c r="S44" s="420"/>
      <c r="T44" s="670">
        <v>110836275</v>
      </c>
      <c r="U44" s="420">
        <f t="shared" si="0"/>
        <v>110836275</v>
      </c>
    </row>
    <row r="45" spans="1:21" s="39" customFormat="1" ht="45">
      <c r="A45" s="307"/>
      <c r="B45" s="673" t="s">
        <v>157</v>
      </c>
      <c r="C45" s="669">
        <v>126861900</v>
      </c>
      <c r="D45" s="26"/>
      <c r="E45" s="420"/>
      <c r="F45" s="420"/>
      <c r="G45" s="420"/>
      <c r="H45" s="420"/>
      <c r="I45" s="420"/>
      <c r="J45" s="420"/>
      <c r="K45" s="420"/>
      <c r="L45" s="420"/>
      <c r="M45" s="420"/>
      <c r="N45" s="420"/>
      <c r="O45" s="420"/>
      <c r="P45" s="420"/>
      <c r="Q45" s="420"/>
      <c r="R45" s="420"/>
      <c r="S45" s="420"/>
      <c r="T45" s="670">
        <v>126861900</v>
      </c>
      <c r="U45" s="420">
        <f t="shared" si="0"/>
        <v>126861900</v>
      </c>
    </row>
    <row r="46" spans="1:21" s="39" customFormat="1" ht="22.5">
      <c r="A46" s="307"/>
      <c r="B46" s="673" t="s">
        <v>158</v>
      </c>
      <c r="C46" s="669">
        <v>294821550</v>
      </c>
      <c r="D46" s="26"/>
      <c r="E46" s="420"/>
      <c r="F46" s="420"/>
      <c r="G46" s="420"/>
      <c r="H46" s="420"/>
      <c r="I46" s="420"/>
      <c r="J46" s="420"/>
      <c r="K46" s="420"/>
      <c r="L46" s="420"/>
      <c r="M46" s="420"/>
      <c r="N46" s="420"/>
      <c r="O46" s="420"/>
      <c r="P46" s="420"/>
      <c r="Q46" s="420"/>
      <c r="R46" s="420"/>
      <c r="S46" s="420"/>
      <c r="T46" s="670">
        <v>294821550</v>
      </c>
      <c r="U46" s="420">
        <f t="shared" si="0"/>
        <v>294821550</v>
      </c>
    </row>
    <row r="47" spans="1:21" s="39" customFormat="1" ht="45">
      <c r="A47" s="307"/>
      <c r="B47" s="673" t="s">
        <v>159</v>
      </c>
      <c r="C47" s="669">
        <v>6050000</v>
      </c>
      <c r="D47" s="26"/>
      <c r="E47" s="420"/>
      <c r="F47" s="420"/>
      <c r="G47" s="420"/>
      <c r="H47" s="420"/>
      <c r="I47" s="420"/>
      <c r="J47" s="420"/>
      <c r="K47" s="420"/>
      <c r="L47" s="420"/>
      <c r="M47" s="420"/>
      <c r="N47" s="420"/>
      <c r="O47" s="420"/>
      <c r="P47" s="420"/>
      <c r="Q47" s="420"/>
      <c r="R47" s="420"/>
      <c r="S47" s="420"/>
      <c r="T47" s="670">
        <v>6050000</v>
      </c>
      <c r="U47" s="420">
        <f t="shared" si="0"/>
        <v>6050000</v>
      </c>
    </row>
    <row r="48" spans="1:21" s="39" customFormat="1" ht="56.25" hidden="1">
      <c r="A48" s="307"/>
      <c r="B48" s="673" t="s">
        <v>160</v>
      </c>
      <c r="C48" s="669">
        <v>10500000</v>
      </c>
      <c r="D48" s="26"/>
      <c r="E48" s="420"/>
      <c r="F48" s="420"/>
      <c r="G48" s="420"/>
      <c r="H48" s="420"/>
      <c r="I48" s="670">
        <v>10500000</v>
      </c>
      <c r="J48" s="420"/>
      <c r="K48" s="420"/>
      <c r="L48" s="420"/>
      <c r="M48" s="420"/>
      <c r="N48" s="420"/>
      <c r="O48" s="420"/>
      <c r="P48" s="420"/>
      <c r="Q48" s="420"/>
      <c r="R48" s="420"/>
      <c r="S48" s="420"/>
      <c r="T48" s="420"/>
      <c r="U48" s="420">
        <f t="shared" si="0"/>
        <v>10500000</v>
      </c>
    </row>
    <row r="49" spans="1:21" s="39" customFormat="1" ht="11.25">
      <c r="A49" s="307"/>
      <c r="B49" s="510"/>
      <c r="C49" s="419"/>
      <c r="D49" s="26"/>
      <c r="E49" s="420"/>
      <c r="F49" s="420"/>
      <c r="G49" s="420"/>
      <c r="H49" s="420"/>
      <c r="I49" s="420"/>
      <c r="J49" s="420"/>
      <c r="K49" s="420"/>
      <c r="L49" s="420"/>
      <c r="M49" s="420"/>
      <c r="N49" s="420"/>
      <c r="O49" s="420"/>
      <c r="P49" s="420"/>
      <c r="Q49" s="420"/>
      <c r="R49" s="420"/>
      <c r="S49" s="420"/>
      <c r="T49" s="420"/>
      <c r="U49" s="420">
        <f t="shared" ref="U49:U50" si="1">SUM(E49:T49)</f>
        <v>0</v>
      </c>
    </row>
    <row r="50" spans="1:21" s="39" customFormat="1" ht="11.25">
      <c r="A50" s="307"/>
      <c r="B50" s="418"/>
      <c r="C50" s="419"/>
      <c r="D50" s="26"/>
      <c r="E50" s="420"/>
      <c r="F50" s="420"/>
      <c r="G50" s="420"/>
      <c r="H50" s="420"/>
      <c r="I50" s="420"/>
      <c r="J50" s="420"/>
      <c r="K50" s="420"/>
      <c r="L50" s="420"/>
      <c r="M50" s="420"/>
      <c r="N50" s="420"/>
      <c r="O50" s="420"/>
      <c r="P50" s="420"/>
      <c r="Q50" s="420"/>
      <c r="R50" s="420"/>
      <c r="S50" s="420"/>
      <c r="T50" s="420"/>
      <c r="U50" s="420">
        <f t="shared" si="1"/>
        <v>0</v>
      </c>
    </row>
    <row r="51" spans="1:21" s="12" customFormat="1" ht="11.25">
      <c r="A51" s="307"/>
      <c r="B51" s="676" t="s">
        <v>28</v>
      </c>
      <c r="C51" s="419"/>
      <c r="D51" s="475"/>
      <c r="E51" s="421">
        <f t="shared" ref="E51:U51" si="2">SUM(E7:E50)</f>
        <v>0</v>
      </c>
      <c r="F51" s="421">
        <f t="shared" si="2"/>
        <v>0</v>
      </c>
      <c r="G51" s="421">
        <f t="shared" si="2"/>
        <v>0</v>
      </c>
      <c r="H51" s="421">
        <f t="shared" si="2"/>
        <v>838451777</v>
      </c>
      <c r="I51" s="421">
        <f t="shared" si="2"/>
        <v>120390000</v>
      </c>
      <c r="J51" s="421">
        <f t="shared" si="2"/>
        <v>291003015</v>
      </c>
      <c r="K51" s="421">
        <f t="shared" si="2"/>
        <v>5134305</v>
      </c>
      <c r="L51" s="421">
        <f t="shared" si="2"/>
        <v>885839057</v>
      </c>
      <c r="M51" s="421">
        <f t="shared" si="2"/>
        <v>0</v>
      </c>
      <c r="N51" s="421">
        <f t="shared" si="2"/>
        <v>0</v>
      </c>
      <c r="O51" s="421">
        <f t="shared" si="2"/>
        <v>77025563</v>
      </c>
      <c r="P51" s="421">
        <f t="shared" si="2"/>
        <v>19658000</v>
      </c>
      <c r="Q51" s="421">
        <f t="shared" si="2"/>
        <v>0</v>
      </c>
      <c r="R51" s="421">
        <f t="shared" si="2"/>
        <v>0</v>
      </c>
      <c r="S51" s="421">
        <f t="shared" si="2"/>
        <v>1108615113</v>
      </c>
      <c r="T51" s="421">
        <f t="shared" si="2"/>
        <v>3787621882</v>
      </c>
      <c r="U51" s="421">
        <f t="shared" si="2"/>
        <v>7133738712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0334-B692-4449-9E76-7DD4361739C6}">
  <sheetPr codeName="Sheet13">
    <tabColor theme="5" tint="0.39997558519241921"/>
  </sheetPr>
  <dimension ref="A1:T20"/>
  <sheetViews>
    <sheetView workbookViewId="0">
      <pane xSplit="3" topLeftCell="D1" activePane="topRight" state="frozen"/>
      <selection pane="topRight" activeCell="E12" sqref="E12"/>
    </sheetView>
  </sheetViews>
  <sheetFormatPr defaultColWidth="8" defaultRowHeight="11.25"/>
  <cols>
    <col min="1" max="1" width="19" style="10" customWidth="1"/>
    <col min="2" max="2" width="14.5703125" style="40" customWidth="1"/>
    <col min="3" max="3" width="21" style="15" customWidth="1"/>
    <col min="4" max="20" width="13.7109375" style="15" customWidth="1"/>
    <col min="21" max="16384" width="8" style="15"/>
  </cols>
  <sheetData>
    <row r="1" spans="1:20" ht="10.15" customHeight="1">
      <c r="B1" s="11" t="s">
        <v>106</v>
      </c>
      <c r="C1" s="12" t="s">
        <v>107</v>
      </c>
      <c r="D1" s="150"/>
      <c r="E1" s="14" t="s">
        <v>108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2" customHeight="1">
      <c r="B2" s="11" t="s">
        <v>109</v>
      </c>
      <c r="C2" s="18" t="s">
        <v>54</v>
      </c>
      <c r="D2" s="151"/>
      <c r="E2" s="14" t="s">
        <v>110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0.15" customHeight="1">
      <c r="B3" s="11" t="s">
        <v>111</v>
      </c>
      <c r="C3" s="18"/>
      <c r="D3" s="152"/>
      <c r="E3" s="14" t="s">
        <v>112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>
      <c r="B4" s="11" t="s">
        <v>113</v>
      </c>
      <c r="C4" s="522">
        <f>'CF Realisasi new'!B8</f>
        <v>45947</v>
      </c>
      <c r="D4" s="20" t="s">
        <v>114</v>
      </c>
      <c r="E4" s="20" t="s">
        <v>114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12.75">
      <c r="B5" s="15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</row>
    <row r="6" spans="1:20" ht="12.75">
      <c r="A6" s="166" t="s">
        <v>161</v>
      </c>
      <c r="B6" s="166" t="s">
        <v>117</v>
      </c>
      <c r="C6" s="356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</row>
    <row r="7" spans="1:20">
      <c r="A7" s="439"/>
      <c r="B7" s="121"/>
      <c r="C7" s="2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>
        <f t="shared" ref="T7:T18" si="0">SUM(D7:S7)</f>
        <v>0</v>
      </c>
    </row>
    <row r="8" spans="1:20">
      <c r="A8" s="439"/>
      <c r="B8" s="87"/>
      <c r="C8" s="2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>
        <f t="shared" si="0"/>
        <v>0</v>
      </c>
    </row>
    <row r="9" spans="1:20">
      <c r="A9" s="439"/>
      <c r="B9" s="87"/>
      <c r="C9" s="2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>
        <f t="shared" si="0"/>
        <v>0</v>
      </c>
    </row>
    <row r="10" spans="1:20">
      <c r="A10" s="439"/>
      <c r="B10" s="87"/>
      <c r="C10" s="2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>
        <f t="shared" si="0"/>
        <v>0</v>
      </c>
    </row>
    <row r="11" spans="1:20">
      <c r="A11" s="439"/>
      <c r="B11" s="87"/>
      <c r="C11" s="2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>
        <f t="shared" si="0"/>
        <v>0</v>
      </c>
    </row>
    <row r="12" spans="1:20">
      <c r="A12" s="439"/>
      <c r="B12" s="87"/>
      <c r="C12" s="2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>
        <f t="shared" si="0"/>
        <v>0</v>
      </c>
    </row>
    <row r="13" spans="1:20">
      <c r="A13" s="439"/>
      <c r="B13" s="87"/>
      <c r="C13" s="2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>
        <f t="shared" si="0"/>
        <v>0</v>
      </c>
    </row>
    <row r="14" spans="1:20">
      <c r="A14" s="93"/>
      <c r="B14" s="86"/>
      <c r="C14" s="2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>
        <f t="shared" si="0"/>
        <v>0</v>
      </c>
    </row>
    <row r="15" spans="1:20">
      <c r="A15" s="93"/>
      <c r="B15" s="86"/>
      <c r="C15" s="2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>
        <f t="shared" si="0"/>
        <v>0</v>
      </c>
    </row>
    <row r="16" spans="1:20">
      <c r="A16" s="91"/>
      <c r="B16" s="86" t="s">
        <v>162</v>
      </c>
      <c r="C16" s="2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>
        <f t="shared" si="0"/>
        <v>0</v>
      </c>
    </row>
    <row r="17" spans="1:20">
      <c r="A17" s="91"/>
      <c r="B17" s="86" t="s">
        <v>162</v>
      </c>
      <c r="C17" s="2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>
        <f t="shared" si="0"/>
        <v>0</v>
      </c>
    </row>
    <row r="18" spans="1:20">
      <c r="A18" s="91"/>
      <c r="B18" s="86" t="s">
        <v>162</v>
      </c>
      <c r="C18" s="2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>
        <f t="shared" si="0"/>
        <v>0</v>
      </c>
    </row>
    <row r="19" spans="1:20" ht="22.5">
      <c r="B19" s="157" t="s">
        <v>163</v>
      </c>
      <c r="C19" s="29"/>
      <c r="D19" s="30">
        <f t="shared" ref="D19:T19" si="1">SUM(D7:D18)</f>
        <v>0</v>
      </c>
      <c r="E19" s="30">
        <f t="shared" si="1"/>
        <v>0</v>
      </c>
      <c r="F19" s="30">
        <f t="shared" si="1"/>
        <v>0</v>
      </c>
      <c r="G19" s="30">
        <f t="shared" si="1"/>
        <v>0</v>
      </c>
      <c r="H19" s="30">
        <f t="shared" si="1"/>
        <v>0</v>
      </c>
      <c r="I19" s="30">
        <f t="shared" si="1"/>
        <v>0</v>
      </c>
      <c r="J19" s="30">
        <f t="shared" si="1"/>
        <v>0</v>
      </c>
      <c r="K19" s="30">
        <f t="shared" si="1"/>
        <v>0</v>
      </c>
      <c r="L19" s="30">
        <f t="shared" si="1"/>
        <v>0</v>
      </c>
      <c r="M19" s="30">
        <f t="shared" si="1"/>
        <v>0</v>
      </c>
      <c r="N19" s="30">
        <f t="shared" si="1"/>
        <v>0</v>
      </c>
      <c r="O19" s="30">
        <f t="shared" si="1"/>
        <v>0</v>
      </c>
      <c r="P19" s="30">
        <f t="shared" si="1"/>
        <v>0</v>
      </c>
      <c r="Q19" s="30">
        <f t="shared" si="1"/>
        <v>0</v>
      </c>
      <c r="R19" s="30">
        <f t="shared" si="1"/>
        <v>0</v>
      </c>
      <c r="S19" s="30">
        <f t="shared" si="1"/>
        <v>0</v>
      </c>
      <c r="T19" s="30">
        <f t="shared" si="1"/>
        <v>0</v>
      </c>
    </row>
    <row r="20" spans="1:20">
      <c r="B20" s="109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B061-E058-4E6B-B8DC-072A89E9C9E0}">
  <sheetPr>
    <tabColor theme="5" tint="0.39997558519241921"/>
  </sheetPr>
  <dimension ref="A1:T14"/>
  <sheetViews>
    <sheetView workbookViewId="0">
      <pane xSplit="2" ySplit="6" topLeftCell="C7" activePane="bottomRight" state="frozen"/>
      <selection pane="topRight" activeCell="C1" sqref="C1"/>
      <selection pane="bottomLeft" activeCell="A42" sqref="A42"/>
      <selection pane="bottomRight" activeCell="D17" sqref="D17"/>
    </sheetView>
  </sheetViews>
  <sheetFormatPr defaultColWidth="8" defaultRowHeight="11.25"/>
  <cols>
    <col min="1" max="1" width="15.7109375" style="116" customWidth="1"/>
    <col min="2" max="2" width="29.42578125" style="40" customWidth="1"/>
    <col min="3" max="3" width="12.42578125" style="15" customWidth="1"/>
    <col min="4" max="20" width="13.7109375" style="15" customWidth="1"/>
    <col min="21" max="16384" width="8" style="15"/>
  </cols>
  <sheetData>
    <row r="1" spans="1:20" ht="10.15" customHeight="1">
      <c r="B1" s="11" t="s">
        <v>106</v>
      </c>
      <c r="C1" s="12" t="s">
        <v>107</v>
      </c>
      <c r="E1" s="150"/>
      <c r="F1" s="14" t="s">
        <v>108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0.15" customHeight="1">
      <c r="B2" s="11" t="s">
        <v>109</v>
      </c>
      <c r="C2" s="18" t="s">
        <v>164</v>
      </c>
      <c r="E2" s="151"/>
      <c r="F2" s="14" t="s">
        <v>110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0.15" customHeight="1">
      <c r="B3" s="11" t="s">
        <v>111</v>
      </c>
      <c r="C3" s="18"/>
      <c r="E3" s="152"/>
      <c r="F3" s="14" t="s">
        <v>112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>
      <c r="B4" s="11" t="s">
        <v>113</v>
      </c>
      <c r="C4" s="522">
        <f>'CF Realisasi new'!B8</f>
        <v>45947</v>
      </c>
      <c r="D4" s="20" t="s">
        <v>114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87" customFormat="1" ht="18.75">
      <c r="A5" s="186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</row>
    <row r="6" spans="1:20" ht="12.75">
      <c r="A6" s="360" t="s">
        <v>116</v>
      </c>
      <c r="B6" s="360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</row>
    <row r="7" spans="1:20" ht="18.75" customHeight="1">
      <c r="A7" s="367"/>
      <c r="B7" s="86"/>
      <c r="C7" s="178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>
        <f>SUM(D7:S7)</f>
        <v>0</v>
      </c>
    </row>
    <row r="8" spans="1:20" ht="14.25" customHeight="1">
      <c r="A8" s="180"/>
      <c r="B8" s="92" t="s">
        <v>712</v>
      </c>
      <c r="C8" s="178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>
        <f>SUM(D8:S8)</f>
        <v>0</v>
      </c>
    </row>
    <row r="9" spans="1:20">
      <c r="A9" s="182"/>
      <c r="B9" s="162"/>
      <c r="C9" s="2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>
        <f>SUM(D9:S9)</f>
        <v>0</v>
      </c>
    </row>
    <row r="10" spans="1:20">
      <c r="A10" s="182"/>
      <c r="B10" s="162"/>
      <c r="C10" s="2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>
        <f>SUM(D10:S10)</f>
        <v>0</v>
      </c>
    </row>
    <row r="11" spans="1:20">
      <c r="A11" s="182"/>
      <c r="B11" s="162"/>
      <c r="C11" s="2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>
        <f>SUM(D11:S11)</f>
        <v>0</v>
      </c>
    </row>
    <row r="12" spans="1:20" ht="22.5">
      <c r="A12" s="183"/>
      <c r="B12" s="168" t="s">
        <v>165</v>
      </c>
      <c r="C12" s="29"/>
      <c r="D12" s="380">
        <f t="shared" ref="D12:T12" si="0">SUM(D7:D11)</f>
        <v>0</v>
      </c>
      <c r="E12" s="380">
        <f t="shared" si="0"/>
        <v>0</v>
      </c>
      <c r="F12" s="380">
        <f t="shared" si="0"/>
        <v>0</v>
      </c>
      <c r="G12" s="380">
        <f t="shared" si="0"/>
        <v>0</v>
      </c>
      <c r="H12" s="380">
        <f t="shared" si="0"/>
        <v>0</v>
      </c>
      <c r="I12" s="380">
        <f t="shared" si="0"/>
        <v>0</v>
      </c>
      <c r="J12" s="380">
        <f t="shared" si="0"/>
        <v>0</v>
      </c>
      <c r="K12" s="380">
        <f t="shared" si="0"/>
        <v>0</v>
      </c>
      <c r="L12" s="380">
        <f t="shared" si="0"/>
        <v>0</v>
      </c>
      <c r="M12" s="380">
        <f t="shared" si="0"/>
        <v>0</v>
      </c>
      <c r="N12" s="380">
        <f t="shared" si="0"/>
        <v>0</v>
      </c>
      <c r="O12" s="380">
        <f t="shared" si="0"/>
        <v>0</v>
      </c>
      <c r="P12" s="380">
        <f t="shared" si="0"/>
        <v>0</v>
      </c>
      <c r="Q12" s="380">
        <f t="shared" si="0"/>
        <v>0</v>
      </c>
      <c r="R12" s="380">
        <f t="shared" si="0"/>
        <v>0</v>
      </c>
      <c r="S12" s="380">
        <f t="shared" si="0"/>
        <v>0</v>
      </c>
      <c r="T12" s="380">
        <f t="shared" si="0"/>
        <v>0</v>
      </c>
    </row>
    <row r="13" spans="1:20">
      <c r="A13" s="184"/>
      <c r="B13" s="109"/>
      <c r="C13" s="110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</row>
    <row r="14" spans="1:20">
      <c r="B14" s="21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EEA4-B6AF-43FA-B109-C40BA0E39DEE}">
  <sheetPr codeName="Sheet4">
    <tabColor theme="0"/>
  </sheetPr>
  <dimension ref="A1:T38"/>
  <sheetViews>
    <sheetView zoomScale="90" zoomScaleNormal="90" workbookViewId="0">
      <pane xSplit="2" ySplit="6" topLeftCell="C20" activePane="bottomRight" state="frozen"/>
      <selection pane="topRight" activeCell="E1" sqref="E1"/>
      <selection pane="bottomLeft" activeCell="A7" sqref="A7"/>
      <selection pane="bottomRight" activeCell="H9" sqref="H9"/>
    </sheetView>
  </sheetViews>
  <sheetFormatPr defaultColWidth="8" defaultRowHeight="11.25"/>
  <cols>
    <col min="1" max="1" width="31.28515625" style="15" customWidth="1"/>
    <col min="2" max="2" width="16.28515625" style="115" customWidth="1"/>
    <col min="3" max="3" width="12.5703125" style="15" customWidth="1"/>
    <col min="4" max="9" width="13.7109375" style="15" customWidth="1"/>
    <col min="10" max="10" width="15.28515625" style="15" customWidth="1"/>
    <col min="11" max="16" width="13.7109375" style="15" customWidth="1"/>
    <col min="17" max="17" width="15.5703125" style="15" customWidth="1"/>
    <col min="18" max="20" width="13.7109375" style="15" customWidth="1"/>
    <col min="21" max="16384" width="8" style="15"/>
  </cols>
  <sheetData>
    <row r="1" spans="1:20" ht="10.15" customHeight="1">
      <c r="B1" s="112" t="s">
        <v>106</v>
      </c>
      <c r="C1" s="12" t="s">
        <v>166</v>
      </c>
      <c r="D1" s="639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2" customHeight="1">
      <c r="B2" s="112" t="s">
        <v>109</v>
      </c>
      <c r="C2" s="18" t="s">
        <v>167</v>
      </c>
      <c r="D2" s="5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0.15" customHeight="1">
      <c r="B3" s="112" t="s">
        <v>111</v>
      </c>
      <c r="C3" s="18"/>
      <c r="D3" s="5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>
      <c r="B4" s="112" t="s">
        <v>113</v>
      </c>
      <c r="C4" s="522">
        <f>'CF Realisasi new'!B8</f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</row>
    <row r="6" spans="1:20" ht="12.75">
      <c r="A6" s="349" t="s">
        <v>116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</row>
    <row r="7" spans="1:20" ht="15">
      <c r="A7" s="458" t="s">
        <v>168</v>
      </c>
      <c r="B7" s="273">
        <v>104638748</v>
      </c>
      <c r="C7" s="457"/>
      <c r="D7" s="662"/>
      <c r="E7" s="662"/>
      <c r="F7" s="662"/>
      <c r="G7" s="662"/>
      <c r="H7" s="662"/>
      <c r="I7" s="662"/>
      <c r="J7" s="663">
        <v>104638748</v>
      </c>
      <c r="K7" s="664"/>
      <c r="L7" s="664"/>
      <c r="M7" s="664"/>
      <c r="N7" s="665"/>
      <c r="O7" s="665"/>
      <c r="P7" s="665"/>
      <c r="Q7" s="665"/>
      <c r="R7" s="665"/>
      <c r="S7" s="665"/>
      <c r="T7" s="668">
        <f>SUM(D7:S7)</f>
        <v>104638748</v>
      </c>
    </row>
    <row r="8" spans="1:20" ht="15">
      <c r="A8" s="85" t="s">
        <v>169</v>
      </c>
      <c r="B8" s="273">
        <v>12025717</v>
      </c>
      <c r="C8" s="457"/>
      <c r="D8" s="662"/>
      <c r="E8" s="662"/>
      <c r="F8" s="662"/>
      <c r="G8" s="662"/>
      <c r="H8" s="666"/>
      <c r="I8" s="662"/>
      <c r="J8" s="667"/>
      <c r="K8" s="664"/>
      <c r="L8" s="664"/>
      <c r="M8" s="664"/>
      <c r="N8" s="665"/>
      <c r="O8" s="663">
        <v>12025717</v>
      </c>
      <c r="P8" s="665"/>
      <c r="Q8" s="665"/>
      <c r="R8" s="665"/>
      <c r="S8" s="665"/>
      <c r="T8" s="668">
        <f t="shared" ref="T8:T32" si="0">SUM(D8:S8)</f>
        <v>12025717</v>
      </c>
    </row>
    <row r="9" spans="1:20" ht="15">
      <c r="A9" s="85" t="s">
        <v>170</v>
      </c>
      <c r="B9" s="273">
        <v>109222</v>
      </c>
      <c r="C9" s="457"/>
      <c r="D9" s="662"/>
      <c r="E9" s="662"/>
      <c r="F9" s="662"/>
      <c r="G9" s="662"/>
      <c r="H9" s="663">
        <v>109222</v>
      </c>
      <c r="I9" s="662"/>
      <c r="J9" s="667"/>
      <c r="K9" s="664"/>
      <c r="L9" s="664"/>
      <c r="M9" s="664"/>
      <c r="N9" s="665"/>
      <c r="O9" s="663"/>
      <c r="P9" s="665"/>
      <c r="Q9" s="665"/>
      <c r="R9" s="665"/>
      <c r="S9" s="665"/>
      <c r="T9" s="668">
        <f t="shared" si="0"/>
        <v>109222</v>
      </c>
    </row>
    <row r="10" spans="1:20" ht="15">
      <c r="A10" s="85" t="s">
        <v>171</v>
      </c>
      <c r="B10" s="273">
        <v>216881482</v>
      </c>
      <c r="C10" s="457"/>
      <c r="D10" s="662"/>
      <c r="E10" s="662"/>
      <c r="F10" s="662"/>
      <c r="G10" s="662"/>
      <c r="H10" s="663"/>
      <c r="I10" s="662"/>
      <c r="J10" s="667"/>
      <c r="K10" s="664"/>
      <c r="L10" s="664"/>
      <c r="M10" s="664"/>
      <c r="N10" s="665"/>
      <c r="O10" s="663"/>
      <c r="P10" s="665"/>
      <c r="Q10" s="663">
        <v>216881482</v>
      </c>
      <c r="R10" s="665"/>
      <c r="S10" s="665"/>
      <c r="T10" s="668">
        <f t="shared" si="0"/>
        <v>216881482</v>
      </c>
    </row>
    <row r="11" spans="1:20" ht="15">
      <c r="A11" s="85" t="s">
        <v>172</v>
      </c>
      <c r="B11" s="273">
        <v>8843790</v>
      </c>
      <c r="C11" s="239"/>
      <c r="D11" s="662"/>
      <c r="E11" s="662"/>
      <c r="F11" s="662"/>
      <c r="G11" s="662"/>
      <c r="H11" s="663"/>
      <c r="I11" s="662"/>
      <c r="J11" s="667"/>
      <c r="K11" s="664"/>
      <c r="L11" s="664"/>
      <c r="M11" s="664"/>
      <c r="N11" s="665"/>
      <c r="O11" s="663">
        <v>8843790</v>
      </c>
      <c r="P11" s="665"/>
      <c r="Q11" s="665"/>
      <c r="R11" s="665"/>
      <c r="S11" s="665"/>
      <c r="T11" s="668">
        <f t="shared" si="0"/>
        <v>8843790</v>
      </c>
    </row>
    <row r="12" spans="1:20" ht="15">
      <c r="A12" s="85" t="s">
        <v>173</v>
      </c>
      <c r="B12" s="273">
        <v>93952</v>
      </c>
      <c r="C12" s="457"/>
      <c r="D12" s="662"/>
      <c r="E12" s="662"/>
      <c r="F12" s="662"/>
      <c r="G12" s="662"/>
      <c r="H12" s="663">
        <v>93952</v>
      </c>
      <c r="I12" s="662"/>
      <c r="J12" s="667"/>
      <c r="K12" s="664"/>
      <c r="L12" s="664"/>
      <c r="M12" s="664"/>
      <c r="N12" s="665"/>
      <c r="O12" s="663"/>
      <c r="P12" s="665"/>
      <c r="Q12" s="665"/>
      <c r="R12" s="665"/>
      <c r="S12" s="665"/>
      <c r="T12" s="668">
        <f t="shared" si="0"/>
        <v>93952</v>
      </c>
    </row>
    <row r="13" spans="1:20" ht="15">
      <c r="A13" s="85" t="s">
        <v>174</v>
      </c>
      <c r="B13" s="273">
        <v>6311430</v>
      </c>
      <c r="C13" s="457"/>
      <c r="D13" s="662"/>
      <c r="E13" s="662"/>
      <c r="F13" s="662"/>
      <c r="G13" s="662"/>
      <c r="H13" s="663">
        <v>6311430</v>
      </c>
      <c r="I13" s="662"/>
      <c r="J13" s="667"/>
      <c r="K13" s="664"/>
      <c r="L13" s="664"/>
      <c r="M13" s="664"/>
      <c r="N13" s="665"/>
      <c r="O13" s="663"/>
      <c r="P13" s="665"/>
      <c r="Q13" s="665"/>
      <c r="R13" s="665"/>
      <c r="S13" s="665"/>
      <c r="T13" s="668">
        <f t="shared" si="0"/>
        <v>6311430</v>
      </c>
    </row>
    <row r="14" spans="1:20" ht="15">
      <c r="A14" s="85" t="s">
        <v>175</v>
      </c>
      <c r="B14" s="273">
        <v>0</v>
      </c>
      <c r="C14" s="457"/>
      <c r="D14" s="662"/>
      <c r="E14" s="662"/>
      <c r="F14" s="662"/>
      <c r="G14" s="662"/>
      <c r="H14" s="663"/>
      <c r="I14" s="662"/>
      <c r="J14" s="667"/>
      <c r="K14" s="664"/>
      <c r="L14" s="664"/>
      <c r="M14" s="664"/>
      <c r="N14" s="665"/>
      <c r="O14" s="663"/>
      <c r="P14" s="665"/>
      <c r="Q14" s="665"/>
      <c r="R14" s="665"/>
      <c r="S14" s="665"/>
      <c r="T14" s="668">
        <f t="shared" si="0"/>
        <v>0</v>
      </c>
    </row>
    <row r="15" spans="1:20" ht="15">
      <c r="A15" s="85" t="s">
        <v>176</v>
      </c>
      <c r="B15" s="429"/>
      <c r="C15" s="457"/>
      <c r="D15" s="87"/>
      <c r="E15" s="87"/>
      <c r="F15" s="87"/>
      <c r="G15" s="87"/>
      <c r="H15" s="689">
        <v>1511359.4583333333</v>
      </c>
      <c r="I15" s="662"/>
      <c r="J15" s="667"/>
      <c r="K15" s="664"/>
      <c r="L15" s="664"/>
      <c r="M15" s="664"/>
      <c r="N15" s="665"/>
      <c r="O15" s="688"/>
      <c r="P15" s="665"/>
      <c r="Q15" s="665"/>
      <c r="R15" s="665"/>
      <c r="S15" s="665"/>
      <c r="T15" s="668">
        <f t="shared" si="0"/>
        <v>1511359.4583333333</v>
      </c>
    </row>
    <row r="16" spans="1:20" ht="15">
      <c r="A16" s="85" t="s">
        <v>177</v>
      </c>
      <c r="B16" s="344"/>
      <c r="C16" s="239"/>
      <c r="D16" s="87"/>
      <c r="E16" s="87"/>
      <c r="F16" s="87"/>
      <c r="G16" s="87"/>
      <c r="H16" s="689">
        <v>4159986.9166666665</v>
      </c>
      <c r="I16" s="662"/>
      <c r="J16" s="667"/>
      <c r="K16" s="664"/>
      <c r="L16" s="664"/>
      <c r="M16" s="664"/>
      <c r="N16" s="665"/>
      <c r="O16" s="688"/>
      <c r="P16" s="665"/>
      <c r="Q16" s="665"/>
      <c r="R16" s="665"/>
      <c r="S16" s="665"/>
      <c r="T16" s="668">
        <f t="shared" si="0"/>
        <v>4159986.9166666665</v>
      </c>
    </row>
    <row r="17" spans="1:20" ht="15">
      <c r="A17" s="85" t="s">
        <v>178</v>
      </c>
      <c r="B17" s="429"/>
      <c r="C17" s="457"/>
      <c r="D17" s="87"/>
      <c r="E17" s="87"/>
      <c r="F17" s="87"/>
      <c r="G17" s="87"/>
      <c r="H17" s="689">
        <v>4326280.625</v>
      </c>
      <c r="I17" s="662"/>
      <c r="J17" s="667"/>
      <c r="K17" s="664"/>
      <c r="L17" s="664"/>
      <c r="M17" s="664"/>
      <c r="N17" s="665"/>
      <c r="O17" s="688"/>
      <c r="P17" s="665"/>
      <c r="Q17" s="665"/>
      <c r="R17" s="665"/>
      <c r="S17" s="665"/>
      <c r="T17" s="668">
        <f t="shared" si="0"/>
        <v>4326280.625</v>
      </c>
    </row>
    <row r="18" spans="1:20" ht="15">
      <c r="A18" s="85" t="s">
        <v>179</v>
      </c>
      <c r="B18" s="429"/>
      <c r="C18" s="457"/>
      <c r="D18" s="87"/>
      <c r="E18" s="87"/>
      <c r="F18" s="87"/>
      <c r="G18" s="87"/>
      <c r="H18" s="689">
        <v>9861633.833333334</v>
      </c>
      <c r="I18" s="662"/>
      <c r="J18" s="667"/>
      <c r="K18" s="664"/>
      <c r="L18" s="664"/>
      <c r="M18" s="664"/>
      <c r="N18" s="665"/>
      <c r="O18" s="688"/>
      <c r="P18" s="665"/>
      <c r="Q18" s="665"/>
      <c r="R18" s="665"/>
      <c r="S18" s="665"/>
      <c r="T18" s="668">
        <f t="shared" si="0"/>
        <v>9861633.833333334</v>
      </c>
    </row>
    <row r="19" spans="1:20" ht="15">
      <c r="A19" s="85" t="s">
        <v>180</v>
      </c>
      <c r="B19" s="429"/>
      <c r="C19" s="457"/>
      <c r="D19" s="87"/>
      <c r="E19" s="87"/>
      <c r="F19" s="87"/>
      <c r="G19" s="87"/>
      <c r="H19" s="689">
        <v>6311430.125</v>
      </c>
      <c r="I19" s="662"/>
      <c r="J19" s="667"/>
      <c r="K19" s="664"/>
      <c r="L19" s="664"/>
      <c r="M19" s="664"/>
      <c r="N19" s="665"/>
      <c r="O19" s="688"/>
      <c r="P19" s="665"/>
      <c r="Q19" s="665"/>
      <c r="R19" s="665"/>
      <c r="S19" s="665"/>
      <c r="T19" s="668">
        <f t="shared" si="0"/>
        <v>6311430.125</v>
      </c>
    </row>
    <row r="20" spans="1:20" ht="15">
      <c r="A20" s="85" t="s">
        <v>181</v>
      </c>
      <c r="B20" s="429"/>
      <c r="C20" s="457"/>
      <c r="D20" s="87"/>
      <c r="E20" s="87"/>
      <c r="F20" s="87"/>
      <c r="G20" s="87"/>
      <c r="H20" s="689">
        <v>34696.833333333336</v>
      </c>
      <c r="I20" s="662"/>
      <c r="J20" s="667"/>
      <c r="K20" s="664"/>
      <c r="L20" s="664"/>
      <c r="M20" s="664"/>
      <c r="N20" s="665"/>
      <c r="O20" s="688"/>
      <c r="P20" s="665"/>
      <c r="Q20" s="665"/>
      <c r="R20" s="665"/>
      <c r="S20" s="665"/>
      <c r="T20" s="668">
        <f t="shared" si="0"/>
        <v>34696.833333333336</v>
      </c>
    </row>
    <row r="21" spans="1:20" ht="15">
      <c r="A21" s="85" t="s">
        <v>182</v>
      </c>
      <c r="B21" s="344"/>
      <c r="C21" s="239"/>
      <c r="D21" s="87"/>
      <c r="E21" s="87"/>
      <c r="F21" s="87"/>
      <c r="G21" s="87"/>
      <c r="H21" s="689">
        <v>532953.91666666663</v>
      </c>
      <c r="I21" s="662"/>
      <c r="J21" s="667"/>
      <c r="K21" s="664"/>
      <c r="L21" s="664"/>
      <c r="M21" s="664"/>
      <c r="N21" s="665"/>
      <c r="O21" s="688"/>
      <c r="P21" s="665"/>
      <c r="Q21" s="665"/>
      <c r="R21" s="665"/>
      <c r="S21" s="665"/>
      <c r="T21" s="668">
        <f t="shared" si="0"/>
        <v>532953.91666666663</v>
      </c>
    </row>
    <row r="22" spans="1:20" ht="15">
      <c r="A22" s="85" t="s">
        <v>183</v>
      </c>
      <c r="B22" s="429"/>
      <c r="C22" s="457"/>
      <c r="D22" s="87"/>
      <c r="E22" s="87"/>
      <c r="F22" s="87"/>
      <c r="G22" s="87"/>
      <c r="H22" s="689">
        <v>164520.20833333334</v>
      </c>
      <c r="I22" s="662"/>
      <c r="J22" s="667"/>
      <c r="K22" s="664"/>
      <c r="L22" s="664"/>
      <c r="M22" s="664"/>
      <c r="N22" s="665"/>
      <c r="O22" s="688"/>
      <c r="P22" s="665"/>
      <c r="Q22" s="665"/>
      <c r="R22" s="665"/>
      <c r="S22" s="665"/>
      <c r="T22" s="668">
        <f t="shared" si="0"/>
        <v>164520.20833333334</v>
      </c>
    </row>
    <row r="23" spans="1:20" ht="15">
      <c r="A23" s="85" t="s">
        <v>184</v>
      </c>
      <c r="B23" s="344"/>
      <c r="C23" s="239"/>
      <c r="D23" s="87"/>
      <c r="E23" s="87"/>
      <c r="F23" s="87"/>
      <c r="G23" s="87"/>
      <c r="H23" s="689">
        <v>435969.91666666669</v>
      </c>
      <c r="I23" s="662"/>
      <c r="J23" s="667"/>
      <c r="K23" s="664"/>
      <c r="L23" s="664"/>
      <c r="M23" s="664"/>
      <c r="N23" s="665"/>
      <c r="O23" s="688"/>
      <c r="P23" s="665"/>
      <c r="Q23" s="665"/>
      <c r="R23" s="665"/>
      <c r="S23" s="665"/>
      <c r="T23" s="668">
        <f t="shared" si="0"/>
        <v>435969.91666666669</v>
      </c>
    </row>
    <row r="24" spans="1:20" ht="15">
      <c r="A24" s="85" t="s">
        <v>185</v>
      </c>
      <c r="B24" s="429"/>
      <c r="C24" s="457"/>
      <c r="D24" s="87"/>
      <c r="E24" s="87"/>
      <c r="F24" s="87"/>
      <c r="G24" s="87"/>
      <c r="H24" s="689">
        <v>306404.20833333331</v>
      </c>
      <c r="I24" s="662"/>
      <c r="J24" s="667"/>
      <c r="K24" s="664"/>
      <c r="L24" s="664"/>
      <c r="M24" s="664"/>
      <c r="N24" s="665"/>
      <c r="O24" s="688"/>
      <c r="P24" s="665"/>
      <c r="Q24" s="665"/>
      <c r="R24" s="665"/>
      <c r="S24" s="665"/>
      <c r="T24" s="668">
        <f t="shared" si="0"/>
        <v>306404.20833333331</v>
      </c>
    </row>
    <row r="25" spans="1:20" ht="15">
      <c r="A25" s="85" t="s">
        <v>186</v>
      </c>
      <c r="B25" s="429"/>
      <c r="C25" s="457"/>
      <c r="D25" s="87"/>
      <c r="E25" s="87"/>
      <c r="F25" s="87"/>
      <c r="G25" s="87"/>
      <c r="H25" s="689">
        <v>306404.20833333331</v>
      </c>
      <c r="I25" s="662"/>
      <c r="J25" s="667"/>
      <c r="K25" s="664"/>
      <c r="L25" s="664"/>
      <c r="M25" s="664"/>
      <c r="N25" s="665"/>
      <c r="O25" s="688"/>
      <c r="P25" s="665"/>
      <c r="Q25" s="665"/>
      <c r="R25" s="665"/>
      <c r="S25" s="665"/>
      <c r="T25" s="668">
        <f t="shared" si="0"/>
        <v>306404.20833333331</v>
      </c>
    </row>
    <row r="26" spans="1:20" ht="15">
      <c r="A26" s="85" t="s">
        <v>187</v>
      </c>
      <c r="B26" s="429"/>
      <c r="C26" s="457"/>
      <c r="D26" s="87"/>
      <c r="E26" s="87"/>
      <c r="F26" s="87"/>
      <c r="G26" s="87"/>
      <c r="H26" s="689">
        <v>301269.91666666669</v>
      </c>
      <c r="I26" s="662"/>
      <c r="J26" s="667"/>
      <c r="K26" s="664"/>
      <c r="L26" s="664"/>
      <c r="M26" s="664"/>
      <c r="N26" s="665"/>
      <c r="O26" s="688"/>
      <c r="P26" s="665"/>
      <c r="Q26" s="665"/>
      <c r="R26" s="665"/>
      <c r="S26" s="665"/>
      <c r="T26" s="668">
        <f t="shared" si="0"/>
        <v>301269.91666666669</v>
      </c>
    </row>
    <row r="27" spans="1:20" ht="15">
      <c r="A27" s="85" t="s">
        <v>188</v>
      </c>
      <c r="B27" s="429"/>
      <c r="C27" s="457"/>
      <c r="D27" s="87"/>
      <c r="E27" s="87"/>
      <c r="F27" s="87"/>
      <c r="G27" s="87"/>
      <c r="H27" s="689">
        <v>265349.91666666669</v>
      </c>
      <c r="I27" s="662"/>
      <c r="J27" s="667"/>
      <c r="K27" s="664"/>
      <c r="L27" s="664"/>
      <c r="M27" s="664"/>
      <c r="N27" s="665"/>
      <c r="O27" s="688"/>
      <c r="P27" s="665"/>
      <c r="Q27" s="665"/>
      <c r="R27" s="665"/>
      <c r="S27" s="665"/>
      <c r="T27" s="668">
        <f t="shared" si="0"/>
        <v>265349.91666666669</v>
      </c>
    </row>
    <row r="28" spans="1:20" ht="15">
      <c r="A28" s="85" t="s">
        <v>189</v>
      </c>
      <c r="B28" s="344"/>
      <c r="C28" s="239"/>
      <c r="D28" s="87"/>
      <c r="E28" s="87"/>
      <c r="F28" s="87"/>
      <c r="G28" s="87"/>
      <c r="H28" s="689">
        <v>538088.20833333337</v>
      </c>
      <c r="I28" s="662"/>
      <c r="J28" s="667"/>
      <c r="K28" s="664"/>
      <c r="L28" s="664"/>
      <c r="M28" s="664"/>
      <c r="N28" s="665"/>
      <c r="O28" s="688"/>
      <c r="P28" s="665"/>
      <c r="Q28" s="665"/>
      <c r="R28" s="665"/>
      <c r="S28" s="665"/>
      <c r="T28" s="668">
        <f t="shared" si="0"/>
        <v>538088.20833333337</v>
      </c>
    </row>
    <row r="29" spans="1:20" ht="15">
      <c r="A29" s="85" t="s">
        <v>190</v>
      </c>
      <c r="B29" s="429"/>
      <c r="C29" s="457"/>
      <c r="D29" s="87"/>
      <c r="E29" s="87"/>
      <c r="F29" s="87"/>
      <c r="G29" s="87"/>
      <c r="H29" s="689">
        <v>164520.20833333334</v>
      </c>
      <c r="I29" s="662"/>
      <c r="J29" s="667"/>
      <c r="K29" s="664"/>
      <c r="L29" s="664"/>
      <c r="M29" s="664"/>
      <c r="N29" s="665"/>
      <c r="O29" s="688"/>
      <c r="P29" s="665"/>
      <c r="Q29" s="665"/>
      <c r="R29" s="665"/>
      <c r="S29" s="665"/>
      <c r="T29" s="668">
        <f t="shared" si="0"/>
        <v>164520.20833333334</v>
      </c>
    </row>
    <row r="30" spans="1:20" ht="15">
      <c r="A30" s="85" t="s">
        <v>191</v>
      </c>
      <c r="B30" s="344"/>
      <c r="C30" s="239"/>
      <c r="D30" s="87"/>
      <c r="E30" s="87"/>
      <c r="F30" s="87"/>
      <c r="G30" s="87"/>
      <c r="H30" s="689">
        <v>5239199.583333333</v>
      </c>
      <c r="I30" s="662"/>
      <c r="J30" s="667"/>
      <c r="K30" s="664"/>
      <c r="L30" s="664"/>
      <c r="M30" s="664"/>
      <c r="N30" s="665"/>
      <c r="O30" s="688"/>
      <c r="P30" s="665"/>
      <c r="Q30" s="665"/>
      <c r="R30" s="665"/>
      <c r="S30" s="665"/>
      <c r="T30" s="668">
        <f t="shared" si="0"/>
        <v>5239199.583333333</v>
      </c>
    </row>
    <row r="31" spans="1:20" ht="15">
      <c r="A31" s="85" t="s">
        <v>192</v>
      </c>
      <c r="B31" s="429"/>
      <c r="C31" s="457"/>
      <c r="D31" s="87"/>
      <c r="E31" s="87"/>
      <c r="F31" s="87"/>
      <c r="G31" s="87"/>
      <c r="H31" s="689">
        <v>3779949.625</v>
      </c>
      <c r="I31" s="662"/>
      <c r="J31" s="667"/>
      <c r="K31" s="664"/>
      <c r="L31" s="664"/>
      <c r="M31" s="664"/>
      <c r="N31" s="665"/>
      <c r="O31" s="688"/>
      <c r="P31" s="665"/>
      <c r="Q31" s="665"/>
      <c r="R31" s="665"/>
      <c r="S31" s="665"/>
      <c r="T31" s="668">
        <f t="shared" si="0"/>
        <v>3779949.625</v>
      </c>
    </row>
    <row r="32" spans="1:20" ht="15">
      <c r="A32" s="85" t="s">
        <v>193</v>
      </c>
      <c r="B32" s="429"/>
      <c r="C32" s="457"/>
      <c r="D32" s="87"/>
      <c r="E32" s="87"/>
      <c r="F32" s="87"/>
      <c r="G32" s="87"/>
      <c r="H32" s="689">
        <v>1436205.4166666667</v>
      </c>
      <c r="I32" s="662"/>
      <c r="J32" s="667"/>
      <c r="K32" s="664"/>
      <c r="L32" s="664"/>
      <c r="M32" s="664"/>
      <c r="N32" s="665"/>
      <c r="O32" s="688"/>
      <c r="P32" s="665"/>
      <c r="Q32" s="665"/>
      <c r="R32" s="665"/>
      <c r="S32" s="665"/>
      <c r="T32" s="668">
        <f t="shared" si="0"/>
        <v>1436205.4166666667</v>
      </c>
    </row>
    <row r="33" spans="1:20" ht="15">
      <c r="A33" s="85"/>
      <c r="B33" s="273"/>
      <c r="C33" s="457"/>
      <c r="D33" s="662"/>
      <c r="E33" s="662"/>
      <c r="F33" s="662"/>
      <c r="G33" s="662"/>
      <c r="H33" s="688"/>
      <c r="I33" s="662"/>
      <c r="J33" s="667"/>
      <c r="K33" s="664"/>
      <c r="L33" s="664"/>
      <c r="M33" s="664"/>
      <c r="N33" s="665"/>
      <c r="O33" s="688"/>
      <c r="P33" s="665"/>
      <c r="Q33" s="665"/>
      <c r="R33" s="665"/>
      <c r="S33" s="665"/>
      <c r="T33" s="668"/>
    </row>
    <row r="34" spans="1:20" ht="15.95" customHeight="1">
      <c r="A34" s="91"/>
      <c r="B34" s="344"/>
      <c r="C34" s="239"/>
      <c r="D34" s="87"/>
      <c r="E34" s="87"/>
      <c r="F34" s="87"/>
      <c r="G34" s="87"/>
      <c r="H34" s="87"/>
      <c r="I34" s="87"/>
      <c r="J34" s="36"/>
      <c r="K34" s="272"/>
      <c r="L34" s="272"/>
      <c r="M34" s="272"/>
      <c r="N34" s="273"/>
      <c r="O34" s="273"/>
      <c r="P34" s="273"/>
      <c r="Q34" s="273"/>
      <c r="R34" s="273"/>
      <c r="S34" s="273"/>
      <c r="T34" s="273">
        <f>SUM(D34:S34)</f>
        <v>0</v>
      </c>
    </row>
    <row r="35" spans="1:20" s="271" customFormat="1" ht="15.75">
      <c r="A35" s="205"/>
      <c r="B35" s="658" t="s">
        <v>194</v>
      </c>
      <c r="C35" s="659"/>
      <c r="D35" s="660">
        <f t="shared" ref="D35:S35" si="1">SUM(D7:D34)</f>
        <v>0</v>
      </c>
      <c r="E35" s="660">
        <f t="shared" si="1"/>
        <v>0</v>
      </c>
      <c r="F35" s="660">
        <f t="shared" si="1"/>
        <v>0</v>
      </c>
      <c r="G35" s="660">
        <f t="shared" si="1"/>
        <v>0</v>
      </c>
      <c r="H35" s="660">
        <f t="shared" si="1"/>
        <v>46190827.125000007</v>
      </c>
      <c r="I35" s="660">
        <f t="shared" si="1"/>
        <v>0</v>
      </c>
      <c r="J35" s="660">
        <f t="shared" si="1"/>
        <v>104638748</v>
      </c>
      <c r="K35" s="660">
        <f t="shared" si="1"/>
        <v>0</v>
      </c>
      <c r="L35" s="660">
        <f t="shared" si="1"/>
        <v>0</v>
      </c>
      <c r="M35" s="660">
        <f t="shared" si="1"/>
        <v>0</v>
      </c>
      <c r="N35" s="660">
        <f t="shared" si="1"/>
        <v>0</v>
      </c>
      <c r="O35" s="660">
        <f t="shared" si="1"/>
        <v>20869507</v>
      </c>
      <c r="P35" s="660">
        <f t="shared" si="1"/>
        <v>0</v>
      </c>
      <c r="Q35" s="660">
        <f t="shared" si="1"/>
        <v>216881482</v>
      </c>
      <c r="R35" s="660">
        <f t="shared" si="1"/>
        <v>0</v>
      </c>
      <c r="S35" s="660">
        <f t="shared" si="1"/>
        <v>0</v>
      </c>
      <c r="T35" s="660">
        <f>SUM(T7:T33)</f>
        <v>388580564.12499994</v>
      </c>
    </row>
    <row r="36" spans="1:20">
      <c r="B36" s="114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</row>
    <row r="37" spans="1:20">
      <c r="B37" s="114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1:20">
      <c r="B38" s="114"/>
    </row>
  </sheetData>
  <phoneticPr fontId="10" type="noConversion"/>
  <dataValidations count="1">
    <dataValidation type="list" allowBlank="1" showInputMessage="1" showErrorMessage="1" sqref="A34 B31 B17 B24" xr:uid="{D2766AC6-85EB-4628-AFE8-5A7539CFA2A1}">
      <formula1>#REF!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7E20-27C0-4C8C-9C4F-3E4C7C2370C2}">
  <sheetPr codeName="Sheet9">
    <tabColor theme="0"/>
  </sheetPr>
  <dimension ref="A1:T19"/>
  <sheetViews>
    <sheetView workbookViewId="0">
      <pane xSplit="2" topLeftCell="L1" activePane="topRight" state="frozen"/>
      <selection pane="topRight" activeCell="S8" sqref="S8"/>
    </sheetView>
  </sheetViews>
  <sheetFormatPr defaultColWidth="8" defaultRowHeight="11.25"/>
  <cols>
    <col min="1" max="1" width="19" style="10" customWidth="1"/>
    <col min="2" max="2" width="23.42578125" style="40" customWidth="1"/>
    <col min="3" max="3" width="21.85546875" style="15" customWidth="1"/>
    <col min="4" max="20" width="13.7109375" style="15" customWidth="1"/>
    <col min="21" max="16384" width="8" style="15"/>
  </cols>
  <sheetData>
    <row r="1" spans="1:20" ht="10.15" customHeight="1">
      <c r="B1" s="11" t="s">
        <v>106</v>
      </c>
      <c r="C1" s="12" t="s">
        <v>166</v>
      </c>
      <c r="D1" s="150"/>
      <c r="E1" s="14" t="s">
        <v>108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2" customHeight="1">
      <c r="B2" s="11" t="s">
        <v>109</v>
      </c>
      <c r="C2" s="18" t="s">
        <v>195</v>
      </c>
      <c r="D2" s="151"/>
      <c r="E2" s="14" t="s">
        <v>110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0.15" customHeight="1">
      <c r="B3" s="11" t="s">
        <v>111</v>
      </c>
      <c r="C3" s="18"/>
      <c r="D3" s="152"/>
      <c r="E3" s="14" t="s">
        <v>112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>
      <c r="B4" s="11" t="s">
        <v>113</v>
      </c>
      <c r="C4" s="175">
        <f>'OUT-ACC-PAJAK'!C4</f>
        <v>45947</v>
      </c>
      <c r="D4" s="20" t="s">
        <v>114</v>
      </c>
      <c r="E4" s="20" t="s">
        <v>114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12.75">
      <c r="B5" s="15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</row>
    <row r="6" spans="1:20" ht="12.75">
      <c r="A6" s="306" t="s">
        <v>196</v>
      </c>
      <c r="B6" s="35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</row>
    <row r="7" spans="1:20" ht="15">
      <c r="A7" s="364"/>
      <c r="B7" s="365"/>
      <c r="C7" s="26"/>
      <c r="D7" s="269"/>
      <c r="E7" s="269"/>
      <c r="F7" s="269"/>
      <c r="G7" s="269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>
        <v>250000000</v>
      </c>
      <c r="T7" s="87">
        <f t="shared" ref="T7:T17" si="0">SUM(D7:S7)</f>
        <v>250000000</v>
      </c>
    </row>
    <row r="8" spans="1:20">
      <c r="A8" s="86"/>
      <c r="B8" s="92"/>
      <c r="C8" s="2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R8" s="36"/>
      <c r="S8" s="36"/>
      <c r="T8" s="87">
        <f t="shared" si="0"/>
        <v>0</v>
      </c>
    </row>
    <row r="9" spans="1:20">
      <c r="A9" s="370"/>
      <c r="B9" s="86"/>
      <c r="C9" s="26"/>
      <c r="D9" s="8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87">
        <f t="shared" si="0"/>
        <v>0</v>
      </c>
    </row>
    <row r="10" spans="1:20">
      <c r="A10" s="370"/>
      <c r="B10" s="86"/>
      <c r="C10" s="26"/>
      <c r="D10" s="8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87">
        <f t="shared" si="0"/>
        <v>0</v>
      </c>
    </row>
    <row r="11" spans="1:20">
      <c r="A11" s="93"/>
      <c r="B11" s="86"/>
      <c r="C11" s="26"/>
      <c r="D11" s="161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7">
        <f t="shared" si="0"/>
        <v>0</v>
      </c>
    </row>
    <row r="12" spans="1:20">
      <c r="A12" s="91"/>
      <c r="B12" s="86" t="s">
        <v>162</v>
      </c>
      <c r="C12" s="2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7">
        <f t="shared" si="0"/>
        <v>0</v>
      </c>
    </row>
    <row r="13" spans="1:20">
      <c r="A13" s="91"/>
      <c r="B13" s="86" t="s">
        <v>162</v>
      </c>
      <c r="C13" s="2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7">
        <f t="shared" si="0"/>
        <v>0</v>
      </c>
    </row>
    <row r="14" spans="1:20">
      <c r="A14" s="91"/>
      <c r="B14" s="86" t="s">
        <v>162</v>
      </c>
      <c r="C14" s="2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7">
        <f t="shared" si="0"/>
        <v>0</v>
      </c>
    </row>
    <row r="15" spans="1:20">
      <c r="A15" s="91"/>
      <c r="B15" s="86" t="s">
        <v>162</v>
      </c>
      <c r="C15" s="2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7">
        <f t="shared" si="0"/>
        <v>0</v>
      </c>
    </row>
    <row r="16" spans="1:20">
      <c r="A16" s="91"/>
      <c r="B16" s="86" t="s">
        <v>162</v>
      </c>
      <c r="C16" s="2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7">
        <f t="shared" si="0"/>
        <v>0</v>
      </c>
    </row>
    <row r="17" spans="1:20">
      <c r="A17" s="91"/>
      <c r="B17" s="86" t="s">
        <v>162</v>
      </c>
      <c r="C17" s="2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7">
        <f t="shared" si="0"/>
        <v>0</v>
      </c>
    </row>
    <row r="18" spans="1:20">
      <c r="A18" s="91"/>
      <c r="B18" s="158" t="s">
        <v>197</v>
      </c>
      <c r="C18" s="29"/>
      <c r="D18" s="30">
        <f t="shared" ref="D18:S18" si="1">SUM(D7:D17)</f>
        <v>0</v>
      </c>
      <c r="E18" s="30">
        <f t="shared" si="1"/>
        <v>0</v>
      </c>
      <c r="F18" s="30">
        <f t="shared" si="1"/>
        <v>0</v>
      </c>
      <c r="G18" s="30">
        <f t="shared" si="1"/>
        <v>0</v>
      </c>
      <c r="H18" s="30">
        <f t="shared" si="1"/>
        <v>0</v>
      </c>
      <c r="I18" s="30">
        <f t="shared" si="1"/>
        <v>0</v>
      </c>
      <c r="J18" s="30">
        <f t="shared" si="1"/>
        <v>0</v>
      </c>
      <c r="K18" s="30">
        <f t="shared" si="1"/>
        <v>0</v>
      </c>
      <c r="L18" s="30">
        <f t="shared" si="1"/>
        <v>0</v>
      </c>
      <c r="M18" s="30">
        <f t="shared" si="1"/>
        <v>0</v>
      </c>
      <c r="N18" s="30">
        <f t="shared" si="1"/>
        <v>0</v>
      </c>
      <c r="O18" s="30">
        <f t="shared" si="1"/>
        <v>0</v>
      </c>
      <c r="P18" s="30">
        <f t="shared" si="1"/>
        <v>0</v>
      </c>
      <c r="Q18" s="30">
        <f t="shared" si="1"/>
        <v>0</v>
      </c>
      <c r="R18" s="30">
        <f t="shared" si="1"/>
        <v>0</v>
      </c>
      <c r="S18" s="30">
        <f t="shared" si="1"/>
        <v>250000000</v>
      </c>
      <c r="T18" s="30">
        <f t="shared" ref="T18" si="2">SUM(T7:T17)</f>
        <v>250000000</v>
      </c>
    </row>
    <row r="19" spans="1:20">
      <c r="B19" s="21"/>
      <c r="C19" s="110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EF52-C2AC-4278-80E1-49135B0B95A7}">
  <sheetPr codeName="Sheet5">
    <tabColor theme="0"/>
  </sheetPr>
  <dimension ref="A1:CY33"/>
  <sheetViews>
    <sheetView zoomScale="60" zoomScaleNormal="6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C20" sqref="C20"/>
    </sheetView>
  </sheetViews>
  <sheetFormatPr defaultColWidth="8" defaultRowHeight="41.1" customHeight="1"/>
  <cols>
    <col min="1" max="1" width="6.5703125" style="752" customWidth="1"/>
    <col min="2" max="2" width="15" style="15" customWidth="1"/>
    <col min="3" max="3" width="34" style="236" customWidth="1"/>
    <col min="4" max="4" width="12.140625" style="236" customWidth="1"/>
    <col min="5" max="5" width="21.5703125" style="707" customWidth="1"/>
    <col min="6" max="6" width="19.42578125" style="15" customWidth="1"/>
    <col min="7" max="7" width="11.42578125" style="40" customWidth="1"/>
    <col min="8" max="8" width="8.7109375" style="15" customWidth="1"/>
    <col min="9" max="11" width="11.42578125" style="15" customWidth="1"/>
    <col min="12" max="12" width="12.42578125" style="15" customWidth="1"/>
    <col min="13" max="13" width="13.85546875" style="15" customWidth="1"/>
    <col min="14" max="14" width="13.5703125" style="15" customWidth="1"/>
    <col min="15" max="22" width="11.42578125" style="15" customWidth="1"/>
    <col min="23" max="23" width="19.5703125" style="15" customWidth="1"/>
    <col min="24" max="24" width="19.7109375" style="15" customWidth="1"/>
    <col min="25" max="71" width="11.42578125" style="15" customWidth="1"/>
    <col min="72" max="72" width="13.7109375" style="19" customWidth="1"/>
    <col min="73" max="73" width="8" style="15"/>
    <col min="74" max="74" width="12" style="15" bestFit="1" customWidth="1"/>
    <col min="75" max="75" width="8" style="15"/>
    <col min="76" max="76" width="9.140625" style="15" bestFit="1" customWidth="1"/>
    <col min="77" max="82" width="8" style="15"/>
    <col min="83" max="83" width="9.140625" style="15" bestFit="1" customWidth="1"/>
    <col min="84" max="87" width="8" style="15"/>
    <col min="88" max="88" width="9.140625" style="15" bestFit="1" customWidth="1"/>
    <col min="89" max="89" width="8" style="15"/>
    <col min="90" max="90" width="9.140625" style="15" bestFit="1" customWidth="1"/>
    <col min="91" max="96" width="8" style="15"/>
    <col min="97" max="97" width="9.42578125" style="15" customWidth="1"/>
    <col min="98" max="100" width="8" style="15"/>
    <col min="101" max="101" width="12" style="15" customWidth="1"/>
    <col min="102" max="102" width="12.140625" style="15" customWidth="1"/>
    <col min="103" max="103" width="12" style="271" customWidth="1"/>
    <col min="104" max="104" width="11.5703125" style="15" customWidth="1"/>
    <col min="105" max="105" width="9.85546875" style="15" customWidth="1"/>
    <col min="106" max="106" width="11.5703125" style="15" customWidth="1"/>
    <col min="107" max="108" width="8" style="15"/>
    <col min="109" max="109" width="9.140625" style="15" bestFit="1" customWidth="1"/>
    <col min="110" max="111" width="8" style="15"/>
    <col min="112" max="112" width="12.140625" style="15" customWidth="1"/>
    <col min="113" max="175" width="13.5703125" style="15" customWidth="1"/>
    <col min="176" max="176" width="15.7109375" style="15" customWidth="1"/>
    <col min="177" max="16384" width="8" style="15"/>
  </cols>
  <sheetData>
    <row r="1" spans="1:103" ht="41.1" customHeight="1">
      <c r="A1" s="42"/>
      <c r="B1" s="42"/>
      <c r="C1" s="235" t="s">
        <v>106</v>
      </c>
      <c r="D1" s="235"/>
      <c r="E1" s="704" t="s">
        <v>166</v>
      </c>
      <c r="F1" s="12"/>
      <c r="I1" s="150"/>
      <c r="J1" s="14" t="s">
        <v>108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6"/>
    </row>
    <row r="2" spans="1:103" ht="41.1" customHeight="1">
      <c r="A2" s="749"/>
      <c r="B2"/>
      <c r="C2" s="235" t="s">
        <v>109</v>
      </c>
      <c r="D2" s="235"/>
      <c r="E2" s="705" t="s">
        <v>198</v>
      </c>
      <c r="F2" s="18"/>
      <c r="I2" s="151"/>
      <c r="J2" s="14" t="s">
        <v>110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6"/>
    </row>
    <row r="3" spans="1:103" ht="41.1" customHeight="1">
      <c r="A3" s="749"/>
      <c r="B3"/>
      <c r="C3" s="235" t="s">
        <v>111</v>
      </c>
      <c r="D3" s="235"/>
      <c r="E3" s="705"/>
      <c r="F3" s="18"/>
      <c r="I3" s="152"/>
      <c r="J3" s="14" t="s">
        <v>112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</row>
    <row r="4" spans="1:103" ht="41.1" customHeight="1">
      <c r="A4" s="749"/>
      <c r="B4"/>
      <c r="C4" s="235" t="s">
        <v>113</v>
      </c>
      <c r="D4" s="235"/>
      <c r="E4" s="706">
        <v>45947</v>
      </c>
      <c r="F4" s="522"/>
      <c r="I4" s="20" t="s">
        <v>114</v>
      </c>
      <c r="J4" s="20" t="s">
        <v>114</v>
      </c>
      <c r="K4" s="20"/>
      <c r="L4" s="20"/>
      <c r="M4" s="20"/>
      <c r="N4" s="20"/>
      <c r="O4" s="703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</row>
    <row r="5" spans="1:103" ht="41.1" customHeight="1">
      <c r="A5" s="749"/>
      <c r="B5"/>
      <c r="C5" s="10"/>
      <c r="D5" s="10"/>
      <c r="G5" s="15"/>
      <c r="H5" s="496" t="s">
        <v>8</v>
      </c>
      <c r="I5" s="350" t="s">
        <v>9</v>
      </c>
      <c r="J5" s="350" t="s">
        <v>10</v>
      </c>
      <c r="K5" s="295" t="s">
        <v>11</v>
      </c>
      <c r="L5" s="353" t="s">
        <v>12</v>
      </c>
      <c r="M5" s="295" t="s">
        <v>13</v>
      </c>
      <c r="N5" s="353" t="s">
        <v>14</v>
      </c>
      <c r="O5" s="496" t="s">
        <v>8</v>
      </c>
      <c r="P5" s="350" t="s">
        <v>9</v>
      </c>
      <c r="Q5" s="350" t="s">
        <v>10</v>
      </c>
      <c r="R5" s="295" t="s">
        <v>11</v>
      </c>
      <c r="S5" s="353" t="s">
        <v>12</v>
      </c>
      <c r="T5" s="295" t="s">
        <v>13</v>
      </c>
      <c r="U5" s="353" t="s">
        <v>14</v>
      </c>
      <c r="V5" s="496" t="s">
        <v>8</v>
      </c>
      <c r="W5" s="350" t="s">
        <v>9</v>
      </c>
      <c r="X5" s="1"/>
      <c r="BT5" s="15"/>
      <c r="CY5" s="15"/>
    </row>
    <row r="6" spans="1:103" ht="41.1" customHeight="1">
      <c r="A6" s="649" t="s">
        <v>199</v>
      </c>
      <c r="B6" s="649" t="s">
        <v>200</v>
      </c>
      <c r="C6" s="306" t="s">
        <v>196</v>
      </c>
      <c r="D6" s="760"/>
      <c r="E6" s="708" t="s">
        <v>117</v>
      </c>
      <c r="F6" s="609" t="s">
        <v>201</v>
      </c>
      <c r="G6" s="610" t="s">
        <v>118</v>
      </c>
      <c r="H6" s="302">
        <v>45947</v>
      </c>
      <c r="I6" s="302">
        <v>45948</v>
      </c>
      <c r="J6" s="302">
        <v>45949</v>
      </c>
      <c r="K6" s="302">
        <v>45950</v>
      </c>
      <c r="L6" s="302">
        <v>45951</v>
      </c>
      <c r="M6" s="302">
        <v>45952</v>
      </c>
      <c r="N6" s="302">
        <v>45953</v>
      </c>
      <c r="O6" s="302">
        <v>45954</v>
      </c>
      <c r="P6" s="302">
        <v>45955</v>
      </c>
      <c r="Q6" s="302">
        <v>45956</v>
      </c>
      <c r="R6" s="302">
        <v>45957</v>
      </c>
      <c r="S6" s="302">
        <v>45958</v>
      </c>
      <c r="T6" s="302">
        <v>45959</v>
      </c>
      <c r="U6" s="302">
        <v>45960</v>
      </c>
      <c r="V6" s="302">
        <v>45961</v>
      </c>
      <c r="W6" s="302">
        <v>45962</v>
      </c>
      <c r="X6" s="483" t="s">
        <v>28</v>
      </c>
      <c r="BT6" s="15"/>
      <c r="CY6" s="15"/>
    </row>
    <row r="7" spans="1:103" ht="41.1" customHeight="1">
      <c r="A7" s="750">
        <v>1</v>
      </c>
      <c r="B7" s="526" t="s">
        <v>698</v>
      </c>
      <c r="C7" s="713" t="s">
        <v>202</v>
      </c>
      <c r="D7" s="713"/>
      <c r="E7" s="709">
        <v>6352050</v>
      </c>
      <c r="F7" s="642" t="s">
        <v>203</v>
      </c>
      <c r="G7" s="239"/>
      <c r="H7" s="36"/>
      <c r="I7" s="36"/>
      <c r="J7" s="36"/>
      <c r="K7" s="36"/>
      <c r="L7" s="36"/>
      <c r="M7" s="641"/>
      <c r="N7" s="600"/>
      <c r="O7" s="36"/>
      <c r="P7" s="36"/>
      <c r="Q7" s="36"/>
      <c r="R7" s="36"/>
      <c r="S7" s="36"/>
      <c r="T7" s="36"/>
      <c r="U7" s="36"/>
      <c r="V7" s="36"/>
      <c r="W7" s="36"/>
      <c r="X7" s="87">
        <f>SUM(H7:W7)</f>
        <v>0</v>
      </c>
      <c r="BT7" s="15"/>
      <c r="CY7" s="15"/>
    </row>
    <row r="8" spans="1:103" ht="68.45" customHeight="1">
      <c r="A8" s="750">
        <v>2</v>
      </c>
      <c r="B8" s="753">
        <v>5634050</v>
      </c>
      <c r="C8" s="754" t="s">
        <v>204</v>
      </c>
      <c r="D8" s="754"/>
      <c r="E8" s="710">
        <f>167081785-B8</f>
        <v>161447735</v>
      </c>
      <c r="F8" s="643" t="s">
        <v>205</v>
      </c>
      <c r="G8" s="239"/>
      <c r="H8" s="36"/>
      <c r="I8" s="36"/>
      <c r="J8" s="36"/>
      <c r="K8" s="36"/>
      <c r="L8" s="36"/>
      <c r="M8" s="644"/>
      <c r="N8" s="36"/>
      <c r="O8" s="36"/>
      <c r="P8" s="36"/>
      <c r="Q8" s="36"/>
      <c r="R8" s="36"/>
      <c r="S8" s="36"/>
      <c r="T8" s="36"/>
      <c r="U8" s="36"/>
      <c r="V8" s="36"/>
      <c r="W8" s="36"/>
      <c r="X8" s="87">
        <f>SUM(H8:W8)</f>
        <v>0</v>
      </c>
      <c r="BT8" s="15"/>
      <c r="CY8" s="15"/>
    </row>
    <row r="9" spans="1:103" ht="49.5" customHeight="1">
      <c r="A9" s="750">
        <v>3</v>
      </c>
      <c r="B9" s="753">
        <f>832665+835057</f>
        <v>1667722</v>
      </c>
      <c r="C9" s="759" t="s">
        <v>206</v>
      </c>
      <c r="D9" s="759"/>
      <c r="E9" s="757">
        <v>26541476</v>
      </c>
      <c r="F9" s="642">
        <v>45958</v>
      </c>
      <c r="G9" s="239"/>
      <c r="H9" s="36"/>
      <c r="I9" s="36"/>
      <c r="J9" s="36"/>
      <c r="K9" s="36"/>
      <c r="L9" s="36"/>
      <c r="M9" s="36"/>
      <c r="N9" s="758">
        <f>E9</f>
        <v>26541476</v>
      </c>
      <c r="O9" s="36"/>
      <c r="P9" s="36"/>
      <c r="Q9" s="36"/>
      <c r="R9" s="36"/>
      <c r="S9" s="36"/>
      <c r="T9" s="36"/>
      <c r="U9" s="36"/>
      <c r="V9" s="36"/>
      <c r="W9" s="36"/>
      <c r="X9" s="87">
        <f t="shared" ref="X9:X16" si="0">SUM(H9:W9)</f>
        <v>26541476</v>
      </c>
      <c r="BT9" s="15"/>
      <c r="CY9" s="15"/>
    </row>
    <row r="10" spans="1:103" ht="57" customHeight="1">
      <c r="A10" s="750">
        <v>4</v>
      </c>
      <c r="B10" s="711">
        <f>2492006+103899</f>
        <v>2595905</v>
      </c>
      <c r="C10" s="646" t="s">
        <v>207</v>
      </c>
      <c r="D10" s="646"/>
      <c r="E10" s="710">
        <f>60745985.546</f>
        <v>60745985.545999996</v>
      </c>
      <c r="F10" s="642">
        <v>45958</v>
      </c>
      <c r="G10" s="239"/>
      <c r="H10" s="36"/>
      <c r="I10" s="36"/>
      <c r="J10" s="36"/>
      <c r="K10" s="36"/>
      <c r="L10" s="36"/>
      <c r="M10" s="36"/>
      <c r="N10" s="36">
        <f>B10</f>
        <v>2595905</v>
      </c>
      <c r="O10" s="36"/>
      <c r="P10" s="36"/>
      <c r="Q10" s="87"/>
      <c r="R10" s="36"/>
      <c r="S10" s="36"/>
      <c r="T10" s="36"/>
      <c r="U10" s="36"/>
      <c r="V10" s="36"/>
      <c r="W10" s="36"/>
      <c r="X10" s="87">
        <f t="shared" si="0"/>
        <v>2595905</v>
      </c>
      <c r="BT10" s="15"/>
      <c r="CY10" s="15"/>
    </row>
    <row r="11" spans="1:103" ht="75.95" customHeight="1">
      <c r="A11" s="750">
        <v>5</v>
      </c>
      <c r="B11" s="755">
        <f>7518739+5406875</f>
        <v>12925614</v>
      </c>
      <c r="C11" s="646" t="s">
        <v>208</v>
      </c>
      <c r="D11" s="646"/>
      <c r="E11" s="710">
        <f>62783184-B11</f>
        <v>49857570</v>
      </c>
      <c r="F11" s="647">
        <v>45951</v>
      </c>
      <c r="G11" s="239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>
        <f t="shared" si="0"/>
        <v>0</v>
      </c>
      <c r="BT11" s="15"/>
      <c r="CY11" s="15"/>
    </row>
    <row r="12" spans="1:103" ht="41.1" customHeight="1">
      <c r="A12" s="750">
        <v>6</v>
      </c>
      <c r="B12" s="711"/>
      <c r="C12" s="759" t="s">
        <v>209</v>
      </c>
      <c r="D12" s="759"/>
      <c r="E12" s="756">
        <v>72553690</v>
      </c>
      <c r="F12" s="642">
        <v>45957</v>
      </c>
      <c r="G12" s="239"/>
      <c r="H12" s="36"/>
      <c r="I12" s="36"/>
      <c r="J12" s="36"/>
      <c r="K12" s="36"/>
      <c r="L12" s="36"/>
      <c r="M12" s="36"/>
      <c r="N12" s="758">
        <f>E12</f>
        <v>72553690</v>
      </c>
      <c r="O12" s="36"/>
      <c r="P12" s="36"/>
      <c r="Q12" s="36"/>
      <c r="R12" s="36"/>
      <c r="S12" s="36"/>
      <c r="T12" s="36"/>
      <c r="U12" s="36"/>
      <c r="V12" s="36"/>
      <c r="W12" s="36"/>
      <c r="X12" s="87">
        <f t="shared" si="0"/>
        <v>72553690</v>
      </c>
      <c r="BT12" s="15"/>
      <c r="CY12" s="15"/>
    </row>
    <row r="13" spans="1:103" ht="41.1" customHeight="1">
      <c r="A13" s="750">
        <v>7</v>
      </c>
      <c r="B13" s="712"/>
      <c r="C13" s="645" t="s">
        <v>210</v>
      </c>
      <c r="D13" s="645"/>
      <c r="E13" s="710">
        <v>21287550</v>
      </c>
      <c r="F13" s="642">
        <v>45932</v>
      </c>
      <c r="G13" s="239"/>
      <c r="H13" s="36"/>
      <c r="I13" s="36"/>
      <c r="J13" s="36"/>
      <c r="K13" s="36"/>
      <c r="L13" s="297">
        <v>17801124</v>
      </c>
      <c r="M13" s="36"/>
      <c r="N13" s="36"/>
      <c r="O13" s="36"/>
      <c r="P13" s="87"/>
      <c r="Q13" s="87"/>
      <c r="R13" s="36"/>
      <c r="S13" s="36"/>
      <c r="T13" s="36"/>
      <c r="U13" s="36"/>
      <c r="V13" s="36"/>
      <c r="W13" s="36"/>
      <c r="X13" s="87">
        <f t="shared" si="0"/>
        <v>17801124</v>
      </c>
      <c r="BT13" s="15"/>
      <c r="CY13" s="15"/>
    </row>
    <row r="14" spans="1:103" ht="41.1" customHeight="1">
      <c r="A14" s="750">
        <v>8</v>
      </c>
      <c r="B14" s="711"/>
      <c r="C14" s="645" t="s">
        <v>211</v>
      </c>
      <c r="D14" s="645"/>
      <c r="E14" s="710">
        <f>112039827-11796341</f>
        <v>100243486</v>
      </c>
      <c r="F14" s="642">
        <v>45938</v>
      </c>
      <c r="G14" s="239"/>
      <c r="H14" s="36"/>
      <c r="I14" s="36"/>
      <c r="J14" s="36"/>
      <c r="K14" s="36"/>
      <c r="L14" s="297">
        <v>18101721</v>
      </c>
      <c r="M14" s="36"/>
      <c r="N14" s="87"/>
      <c r="O14" s="36"/>
      <c r="P14" s="87"/>
      <c r="Q14" s="87"/>
      <c r="R14" s="36"/>
      <c r="S14" s="36"/>
      <c r="T14" s="36"/>
      <c r="U14" s="36"/>
      <c r="V14" s="36"/>
      <c r="W14" s="36"/>
      <c r="X14" s="87">
        <f t="shared" si="0"/>
        <v>18101721</v>
      </c>
      <c r="BT14" s="15"/>
      <c r="CY14" s="15"/>
    </row>
    <row r="15" spans="1:103" ht="41.1" customHeight="1">
      <c r="A15" s="750">
        <v>9</v>
      </c>
      <c r="B15" s="711"/>
      <c r="C15" s="655" t="s">
        <v>212</v>
      </c>
      <c r="D15" s="655"/>
      <c r="E15" s="710">
        <f>36348680-5040125</f>
        <v>31308555</v>
      </c>
      <c r="F15" s="642">
        <v>45936</v>
      </c>
      <c r="G15" s="239"/>
      <c r="H15" s="36"/>
      <c r="I15" s="36"/>
      <c r="J15" s="36"/>
      <c r="K15" s="36"/>
      <c r="L15" s="36"/>
      <c r="M15" s="36"/>
      <c r="N15" s="36"/>
      <c r="O15" s="36"/>
      <c r="P15" s="87"/>
      <c r="Q15" s="87"/>
      <c r="R15" s="36"/>
      <c r="S15" s="36"/>
      <c r="T15" s="36"/>
      <c r="U15" s="36"/>
      <c r="V15" s="36"/>
      <c r="W15" s="36"/>
      <c r="X15" s="87">
        <f t="shared" si="0"/>
        <v>0</v>
      </c>
      <c r="BT15" s="15"/>
      <c r="CY15" s="15"/>
    </row>
    <row r="16" spans="1:103" ht="41.1" customHeight="1">
      <c r="A16" s="750">
        <v>10</v>
      </c>
      <c r="B16" s="711"/>
      <c r="C16" s="646" t="s">
        <v>213</v>
      </c>
      <c r="D16" s="646"/>
      <c r="E16" s="710">
        <f>25057506-5301962</f>
        <v>19755544</v>
      </c>
      <c r="F16" s="642">
        <v>45935</v>
      </c>
      <c r="G16" s="239"/>
      <c r="H16" s="36"/>
      <c r="I16" s="36"/>
      <c r="J16" s="36"/>
      <c r="K16" s="36"/>
      <c r="L16" s="297">
        <v>15178135</v>
      </c>
      <c r="M16" s="36"/>
      <c r="N16" s="36"/>
      <c r="O16" s="36"/>
      <c r="P16" s="87"/>
      <c r="Q16" s="87"/>
      <c r="R16" s="36"/>
      <c r="S16" s="36"/>
      <c r="T16" s="36"/>
      <c r="U16" s="36"/>
      <c r="V16" s="36"/>
      <c r="W16" s="36"/>
      <c r="X16" s="87">
        <f t="shared" si="0"/>
        <v>15178135</v>
      </c>
      <c r="BT16" s="15"/>
      <c r="CY16" s="15"/>
    </row>
    <row r="17" spans="1:103" ht="41.1" customHeight="1">
      <c r="A17" s="750">
        <v>11</v>
      </c>
      <c r="B17" s="711"/>
      <c r="C17" s="645" t="s">
        <v>214</v>
      </c>
      <c r="D17" s="645"/>
      <c r="E17" s="710">
        <f>13517654-4316821</f>
        <v>9200833</v>
      </c>
      <c r="F17" s="642">
        <v>45935</v>
      </c>
      <c r="G17" s="239"/>
      <c r="H17" s="36"/>
      <c r="I17" s="36"/>
      <c r="J17" s="36"/>
      <c r="K17" s="36"/>
      <c r="L17" s="36"/>
      <c r="M17" s="36"/>
      <c r="N17" s="36"/>
      <c r="O17" s="36"/>
      <c r="P17" s="87"/>
      <c r="Q17" s="87"/>
      <c r="R17" s="36"/>
      <c r="S17" s="36"/>
      <c r="T17" s="36"/>
      <c r="U17" s="36"/>
      <c r="V17" s="36"/>
      <c r="W17" s="36"/>
      <c r="X17" s="87">
        <f>SUM(H17:W17)</f>
        <v>0</v>
      </c>
      <c r="BT17" s="15"/>
      <c r="CY17" s="15"/>
    </row>
    <row r="18" spans="1:103" ht="41.1" customHeight="1">
      <c r="A18" s="750">
        <v>12</v>
      </c>
      <c r="B18" s="711"/>
      <c r="C18" s="645" t="s">
        <v>215</v>
      </c>
      <c r="D18" s="645"/>
      <c r="E18" s="710">
        <f>12116411-729297</f>
        <v>11387114</v>
      </c>
      <c r="F18" s="642">
        <v>45935</v>
      </c>
      <c r="G18" s="239"/>
      <c r="H18" s="36"/>
      <c r="I18" s="36"/>
      <c r="J18" s="36"/>
      <c r="K18" s="36"/>
      <c r="L18" s="36"/>
      <c r="M18" s="36"/>
      <c r="N18" s="36"/>
      <c r="O18" s="36"/>
      <c r="P18" s="87"/>
      <c r="Q18" s="87"/>
      <c r="R18" s="36"/>
      <c r="S18" s="36"/>
      <c r="T18" s="36"/>
      <c r="U18" s="36"/>
      <c r="V18" s="36"/>
      <c r="W18" s="36"/>
      <c r="X18" s="87">
        <f>SUM(H18:W18)</f>
        <v>0</v>
      </c>
      <c r="BT18" s="15"/>
      <c r="CY18" s="15"/>
    </row>
    <row r="19" spans="1:103" ht="39.6" customHeight="1">
      <c r="A19" s="750">
        <v>13</v>
      </c>
      <c r="B19" s="711"/>
      <c r="C19" s="645" t="s">
        <v>216</v>
      </c>
      <c r="D19" s="645"/>
      <c r="E19" s="710">
        <f>50251214-414731</f>
        <v>49836483</v>
      </c>
      <c r="F19" s="642">
        <v>45940</v>
      </c>
      <c r="G19" s="239"/>
      <c r="H19" s="36"/>
      <c r="I19" s="36"/>
      <c r="J19" s="36"/>
      <c r="K19" s="36"/>
      <c r="L19" s="36"/>
      <c r="M19" s="36"/>
      <c r="N19" s="36"/>
      <c r="O19" s="36"/>
      <c r="P19" s="87"/>
      <c r="Q19" s="87"/>
      <c r="R19" s="36"/>
      <c r="S19" s="36"/>
      <c r="T19" s="36"/>
      <c r="U19" s="36"/>
      <c r="V19" s="36"/>
      <c r="W19" s="36"/>
      <c r="X19" s="87">
        <f t="shared" ref="X19:X22" si="1">SUM(H19:W19)</f>
        <v>0</v>
      </c>
      <c r="BT19" s="15"/>
      <c r="CY19" s="15"/>
    </row>
    <row r="20" spans="1:103" ht="41.1" customHeight="1">
      <c r="A20" s="750">
        <v>14</v>
      </c>
      <c r="B20" s="526"/>
      <c r="C20" s="645" t="s">
        <v>217</v>
      </c>
      <c r="D20" s="645"/>
      <c r="E20" s="710">
        <v>2732885</v>
      </c>
      <c r="F20" s="642">
        <v>45941</v>
      </c>
      <c r="G20" s="239"/>
      <c r="H20" s="36"/>
      <c r="I20" s="36"/>
      <c r="J20" s="36"/>
      <c r="K20" s="36"/>
      <c r="L20" s="36"/>
      <c r="M20" s="36"/>
      <c r="N20" s="36"/>
      <c r="O20" s="36"/>
      <c r="P20" s="87"/>
      <c r="Q20" s="87"/>
      <c r="R20" s="36"/>
      <c r="S20" s="36"/>
      <c r="T20" s="36"/>
      <c r="U20" s="36"/>
      <c r="V20" s="36"/>
      <c r="W20" s="36"/>
      <c r="X20" s="87">
        <f t="shared" si="1"/>
        <v>0</v>
      </c>
      <c r="BT20" s="15"/>
      <c r="CY20" s="15"/>
    </row>
    <row r="21" spans="1:103" ht="41.1" customHeight="1">
      <c r="A21" s="750">
        <v>15</v>
      </c>
      <c r="B21" s="526"/>
      <c r="C21" s="645" t="s">
        <v>218</v>
      </c>
      <c r="D21" s="645"/>
      <c r="E21" s="710">
        <v>1440227</v>
      </c>
      <c r="F21" s="642">
        <v>45941</v>
      </c>
      <c r="G21" s="239"/>
      <c r="H21" s="36"/>
      <c r="I21" s="36"/>
      <c r="J21" s="36"/>
      <c r="K21" s="36"/>
      <c r="L21" s="36"/>
      <c r="M21" s="36"/>
      <c r="N21" s="36"/>
      <c r="O21" s="36"/>
      <c r="P21" s="87"/>
      <c r="Q21" s="87"/>
      <c r="R21" s="36"/>
      <c r="S21" s="36"/>
      <c r="T21" s="36"/>
      <c r="U21" s="36"/>
      <c r="V21" s="36"/>
      <c r="W21" s="36"/>
      <c r="X21" s="87">
        <f t="shared" si="1"/>
        <v>0</v>
      </c>
      <c r="BT21" s="15"/>
      <c r="CY21" s="15"/>
    </row>
    <row r="22" spans="1:103" ht="41.1" customHeight="1">
      <c r="A22" s="750">
        <v>16</v>
      </c>
      <c r="B22" s="526"/>
      <c r="C22" s="645" t="s">
        <v>219</v>
      </c>
      <c r="D22" s="645"/>
      <c r="E22" s="710">
        <v>2793758</v>
      </c>
      <c r="F22" s="642">
        <v>45938</v>
      </c>
      <c r="G22" s="239"/>
      <c r="H22" s="36"/>
      <c r="I22" s="36"/>
      <c r="J22" s="36"/>
      <c r="K22" s="36"/>
      <c r="L22" s="36"/>
      <c r="M22" s="36"/>
      <c r="N22" s="36"/>
      <c r="O22" s="36"/>
      <c r="P22" s="87"/>
      <c r="Q22" s="87"/>
      <c r="R22" s="36"/>
      <c r="S22" s="36"/>
      <c r="T22" s="36"/>
      <c r="U22" s="36"/>
      <c r="V22" s="36"/>
      <c r="W22" s="36"/>
      <c r="X22" s="87">
        <f t="shared" si="1"/>
        <v>0</v>
      </c>
      <c r="BT22" s="15"/>
      <c r="CY22" s="15"/>
    </row>
    <row r="23" spans="1:103" ht="41.1" customHeight="1">
      <c r="A23" s="750">
        <v>17</v>
      </c>
      <c r="B23" s="526"/>
      <c r="C23" s="645" t="s">
        <v>220</v>
      </c>
      <c r="D23" s="645"/>
      <c r="E23" s="710">
        <v>2358430</v>
      </c>
      <c r="F23" s="642">
        <v>45935</v>
      </c>
      <c r="G23" s="239"/>
      <c r="H23" s="36"/>
      <c r="I23" s="36"/>
      <c r="J23" s="36"/>
      <c r="K23" s="36"/>
      <c r="L23" s="36"/>
      <c r="M23" s="36"/>
      <c r="N23" s="36"/>
      <c r="O23" s="36"/>
      <c r="P23" s="87"/>
      <c r="Q23" s="87"/>
      <c r="R23" s="36"/>
      <c r="S23" s="36"/>
      <c r="T23" s="36"/>
      <c r="U23" s="36"/>
      <c r="V23" s="36"/>
      <c r="W23" s="36"/>
      <c r="X23" s="87">
        <f>SUM(H23:W23)</f>
        <v>0</v>
      </c>
      <c r="BT23" s="15"/>
      <c r="CY23" s="15"/>
    </row>
    <row r="24" spans="1:103" ht="41.1" customHeight="1">
      <c r="A24" s="750">
        <v>18</v>
      </c>
      <c r="B24" s="526"/>
      <c r="C24" s="648" t="s">
        <v>221</v>
      </c>
      <c r="D24" s="648"/>
      <c r="E24" s="710">
        <f>24245918.57-2722709</f>
        <v>21523209.57</v>
      </c>
      <c r="F24" s="642">
        <v>45936</v>
      </c>
      <c r="G24" s="239"/>
      <c r="H24" s="36"/>
      <c r="I24" s="36"/>
      <c r="J24" s="36"/>
      <c r="K24" s="36"/>
      <c r="L24" s="36"/>
      <c r="M24" s="36"/>
      <c r="N24" s="36"/>
      <c r="O24" s="36"/>
      <c r="P24" s="87"/>
      <c r="Q24" s="87"/>
      <c r="R24" s="36"/>
      <c r="S24" s="36"/>
      <c r="T24" s="36"/>
      <c r="U24" s="36"/>
      <c r="V24" s="36"/>
      <c r="W24" s="36"/>
      <c r="X24" s="87">
        <f>SUM(H24:W24)</f>
        <v>0</v>
      </c>
      <c r="BT24" s="15"/>
      <c r="CY24" s="15"/>
    </row>
    <row r="25" spans="1:103" ht="41.1" customHeight="1">
      <c r="A25" s="750">
        <v>19</v>
      </c>
      <c r="B25" s="526"/>
      <c r="C25" s="648" t="s">
        <v>222</v>
      </c>
      <c r="D25" s="648" t="s">
        <v>708</v>
      </c>
      <c r="E25" s="710">
        <v>0</v>
      </c>
      <c r="F25" s="642">
        <v>45939</v>
      </c>
      <c r="G25" s="239"/>
      <c r="H25" s="36"/>
      <c r="I25" s="36"/>
      <c r="J25" s="36"/>
      <c r="K25" s="36"/>
      <c r="L25" s="36"/>
      <c r="M25" s="36"/>
      <c r="N25" s="36"/>
      <c r="O25" s="36"/>
      <c r="P25" s="87"/>
      <c r="Q25" s="87"/>
      <c r="R25" s="36"/>
      <c r="S25" s="36"/>
      <c r="T25" s="36"/>
      <c r="U25" s="36"/>
      <c r="V25" s="36"/>
      <c r="W25" s="36"/>
      <c r="X25" s="87">
        <f t="shared" ref="X25:X26" si="2">SUM(H25:W25)</f>
        <v>0</v>
      </c>
      <c r="BT25" s="15"/>
      <c r="CY25" s="15"/>
    </row>
    <row r="26" spans="1:103" ht="41.1" customHeight="1">
      <c r="A26" s="750">
        <v>20</v>
      </c>
      <c r="B26" s="526"/>
      <c r="C26" s="648" t="s">
        <v>223</v>
      </c>
      <c r="D26" s="648"/>
      <c r="E26" s="710">
        <v>3079320</v>
      </c>
      <c r="F26" s="642">
        <v>45939</v>
      </c>
      <c r="G26" s="239"/>
      <c r="H26" s="36"/>
      <c r="I26" s="36"/>
      <c r="J26" s="36"/>
      <c r="K26" s="36"/>
      <c r="L26" s="36"/>
      <c r="M26" s="36"/>
      <c r="N26" s="36"/>
      <c r="O26" s="36"/>
      <c r="P26" s="87"/>
      <c r="Q26" s="87"/>
      <c r="R26" s="36"/>
      <c r="S26" s="36"/>
      <c r="T26" s="36"/>
      <c r="U26" s="36"/>
      <c r="V26" s="36"/>
      <c r="W26" s="36"/>
      <c r="X26" s="87">
        <f t="shared" si="2"/>
        <v>0</v>
      </c>
      <c r="BT26" s="15"/>
      <c r="CY26" s="15"/>
    </row>
    <row r="27" spans="1:103" ht="41.1" customHeight="1">
      <c r="A27" s="750">
        <v>21</v>
      </c>
      <c r="B27" s="526"/>
      <c r="C27" s="648" t="s">
        <v>224</v>
      </c>
      <c r="D27" s="648" t="s">
        <v>705</v>
      </c>
      <c r="E27" s="710">
        <f>88383689</f>
        <v>88383689</v>
      </c>
      <c r="F27" s="642">
        <v>45939</v>
      </c>
      <c r="G27" s="239"/>
      <c r="H27" s="36"/>
      <c r="I27" s="36"/>
      <c r="J27" s="36"/>
      <c r="K27" s="36"/>
      <c r="L27" s="36"/>
      <c r="M27" s="36"/>
      <c r="N27" s="36"/>
      <c r="O27" s="36"/>
      <c r="P27" s="87"/>
      <c r="Q27" s="87"/>
      <c r="R27" s="36"/>
      <c r="S27" s="36"/>
      <c r="T27" s="36"/>
      <c r="U27" s="36"/>
      <c r="V27" s="36"/>
      <c r="W27" s="36"/>
      <c r="X27" s="87">
        <f>SUM(H27:W27)</f>
        <v>0</v>
      </c>
      <c r="BT27" s="15"/>
      <c r="CY27" s="15"/>
    </row>
    <row r="28" spans="1:103" ht="41.1" customHeight="1">
      <c r="A28" s="750">
        <v>22</v>
      </c>
      <c r="B28" s="526"/>
      <c r="C28" s="648" t="s">
        <v>225</v>
      </c>
      <c r="D28" s="648"/>
      <c r="E28" s="710">
        <f>34855152-14500000</f>
        <v>20355152</v>
      </c>
      <c r="F28" s="642">
        <v>45939</v>
      </c>
      <c r="G28" s="239"/>
      <c r="H28" s="36"/>
      <c r="I28" s="36"/>
      <c r="J28" s="36"/>
      <c r="K28" s="36"/>
      <c r="L28" s="36"/>
      <c r="M28" s="36"/>
      <c r="N28" s="36"/>
      <c r="O28" s="36"/>
      <c r="P28" s="87"/>
      <c r="Q28" s="87"/>
      <c r="R28" s="36"/>
      <c r="S28" s="36"/>
      <c r="T28" s="36"/>
      <c r="U28" s="36"/>
      <c r="V28" s="36"/>
      <c r="W28" s="36"/>
      <c r="X28" s="87">
        <f t="shared" ref="X28:X32" si="3">SUM(H28:W28)</f>
        <v>0</v>
      </c>
      <c r="BT28" s="15"/>
      <c r="CY28" s="15"/>
    </row>
    <row r="29" spans="1:103" ht="41.1" customHeight="1">
      <c r="A29" s="750">
        <v>23</v>
      </c>
      <c r="B29" s="526"/>
      <c r="C29" s="648" t="s">
        <v>226</v>
      </c>
      <c r="D29" s="648" t="s">
        <v>707</v>
      </c>
      <c r="E29" s="710">
        <f>60217678-22842460</f>
        <v>37375218</v>
      </c>
      <c r="F29" s="642">
        <v>45939</v>
      </c>
      <c r="G29" s="239"/>
      <c r="H29" s="36"/>
      <c r="I29" s="36"/>
      <c r="J29" s="36"/>
      <c r="K29" s="36"/>
      <c r="L29" s="297">
        <v>30526520</v>
      </c>
      <c r="M29" s="36"/>
      <c r="N29" s="36"/>
      <c r="O29" s="36"/>
      <c r="P29" s="87"/>
      <c r="Q29" s="87"/>
      <c r="R29" s="36"/>
      <c r="S29" s="36">
        <v>7441198</v>
      </c>
      <c r="T29" s="36"/>
      <c r="U29" s="36"/>
      <c r="V29" s="36"/>
      <c r="W29" s="36"/>
      <c r="X29" s="87">
        <f t="shared" si="3"/>
        <v>37967718</v>
      </c>
      <c r="BT29" s="15"/>
      <c r="CY29" s="15"/>
    </row>
    <row r="30" spans="1:103" ht="41.1" customHeight="1">
      <c r="A30" s="750">
        <v>24</v>
      </c>
      <c r="B30" s="526"/>
      <c r="C30" s="648" t="s">
        <v>227</v>
      </c>
      <c r="D30" s="648" t="s">
        <v>706</v>
      </c>
      <c r="E30" s="710">
        <v>0</v>
      </c>
      <c r="F30" s="642">
        <v>45939</v>
      </c>
      <c r="G30" s="239"/>
      <c r="H30" s="36"/>
      <c r="I30" s="36"/>
      <c r="J30" s="36"/>
      <c r="K30" s="36"/>
      <c r="L30" s="36"/>
      <c r="M30" s="36"/>
      <c r="N30" s="36"/>
      <c r="O30" s="36"/>
      <c r="P30" s="87"/>
      <c r="Q30" s="87"/>
      <c r="R30" s="36"/>
      <c r="S30" s="36"/>
      <c r="T30" s="36"/>
      <c r="U30" s="36"/>
      <c r="V30" s="36"/>
      <c r="W30" s="36"/>
      <c r="X30" s="87">
        <f t="shared" si="3"/>
        <v>0</v>
      </c>
      <c r="BT30" s="15"/>
      <c r="CY30" s="15"/>
    </row>
    <row r="31" spans="1:103" ht="41.1" customHeight="1">
      <c r="A31" s="750"/>
      <c r="B31" s="650"/>
      <c r="C31" s="762" t="s">
        <v>709</v>
      </c>
      <c r="D31" s="761"/>
      <c r="E31" s="764">
        <v>35000000</v>
      </c>
      <c r="F31" s="86"/>
      <c r="G31" s="239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>
        <v>35000000</v>
      </c>
      <c r="X31" s="121">
        <f t="shared" si="3"/>
        <v>35000000</v>
      </c>
      <c r="BT31" s="15"/>
      <c r="CY31" s="15"/>
    </row>
    <row r="32" spans="1:103" ht="42.6" customHeight="1">
      <c r="A32" s="750"/>
      <c r="B32" s="650"/>
      <c r="C32" s="762" t="s">
        <v>710</v>
      </c>
      <c r="D32" s="761"/>
      <c r="E32" s="764">
        <v>174636000</v>
      </c>
      <c r="F32" s="86"/>
      <c r="G32" s="239"/>
      <c r="H32" s="161"/>
      <c r="I32" s="161"/>
      <c r="J32" s="161"/>
      <c r="K32" s="161"/>
      <c r="L32" s="161"/>
      <c r="M32" s="161">
        <v>74636000</v>
      </c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21">
        <f t="shared" si="3"/>
        <v>74636000</v>
      </c>
      <c r="BT32" s="15"/>
      <c r="CY32" s="15"/>
    </row>
    <row r="33" spans="1:24" s="271" customFormat="1" ht="41.1" customHeight="1">
      <c r="A33" s="751"/>
      <c r="B33" s="651"/>
      <c r="C33" s="548" t="s">
        <v>28</v>
      </c>
      <c r="D33" s="548"/>
      <c r="E33" s="714">
        <f>SUM(E7:E31)</f>
        <v>835559960.11600006</v>
      </c>
      <c r="F33" s="569"/>
      <c r="G33" s="652"/>
      <c r="H33" s="653">
        <f>SUM(H7:H32)</f>
        <v>0</v>
      </c>
      <c r="I33" s="653">
        <f t="shared" ref="I33:W33" si="4">SUM(I7:I32)</f>
        <v>0</v>
      </c>
      <c r="J33" s="653">
        <f t="shared" si="4"/>
        <v>0</v>
      </c>
      <c r="K33" s="653">
        <f t="shared" si="4"/>
        <v>0</v>
      </c>
      <c r="L33" s="653">
        <f t="shared" si="4"/>
        <v>81607500</v>
      </c>
      <c r="M33" s="653">
        <f t="shared" si="4"/>
        <v>74636000</v>
      </c>
      <c r="N33" s="653">
        <f t="shared" si="4"/>
        <v>101691071</v>
      </c>
      <c r="O33" s="653">
        <f t="shared" si="4"/>
        <v>0</v>
      </c>
      <c r="P33" s="653">
        <f t="shared" si="4"/>
        <v>0</v>
      </c>
      <c r="Q33" s="653">
        <f t="shared" si="4"/>
        <v>0</v>
      </c>
      <c r="R33" s="653">
        <f t="shared" si="4"/>
        <v>0</v>
      </c>
      <c r="S33" s="653">
        <f t="shared" si="4"/>
        <v>7441198</v>
      </c>
      <c r="T33" s="653">
        <f t="shared" si="4"/>
        <v>0</v>
      </c>
      <c r="U33" s="653">
        <f t="shared" si="4"/>
        <v>0</v>
      </c>
      <c r="V33" s="653">
        <f t="shared" si="4"/>
        <v>0</v>
      </c>
      <c r="W33" s="653">
        <f t="shared" si="4"/>
        <v>35000000</v>
      </c>
      <c r="X33" s="654">
        <f>SUM(X7:X32)</f>
        <v>300375769</v>
      </c>
    </row>
  </sheetData>
  <dataValidations count="1">
    <dataValidation type="decimal" allowBlank="1" showInputMessage="1" sqref="C15:D15 F7:F30" xr:uid="{433D1CCA-0078-4F69-845D-2C7995846E23}">
      <formula1>-10000000</formula1>
      <formula2>10000000</formula2>
    </dataValidation>
  </dataValidation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2891-492B-418B-9200-94CCEA315A1F}">
  <sheetPr codeName="Sheet6">
    <tabColor theme="0"/>
  </sheetPr>
  <dimension ref="A1:T21"/>
  <sheetViews>
    <sheetView topLeftCell="A4" zoomScale="70" zoomScaleNormal="70" workbookViewId="0">
      <pane xSplit="2" ySplit="8" topLeftCell="C12" activePane="bottomRight" state="frozen"/>
      <selection pane="topRight" activeCell="D4" sqref="D4"/>
      <selection pane="bottomLeft" activeCell="A42" sqref="A42"/>
      <selection pane="bottomRight" activeCell="H14" sqref="H14"/>
    </sheetView>
  </sheetViews>
  <sheetFormatPr defaultColWidth="8" defaultRowHeight="17.100000000000001" customHeight="1"/>
  <cols>
    <col min="1" max="1" width="42.42578125" style="530" customWidth="1"/>
    <col min="2" max="2" width="18" style="572" customWidth="1"/>
    <col min="3" max="3" width="13.28515625" style="271" customWidth="1"/>
    <col min="4" max="4" width="19.140625" style="271" customWidth="1"/>
    <col min="5" max="20" width="13.7109375" style="271" customWidth="1"/>
    <col min="21" max="16384" width="8" style="271"/>
  </cols>
  <sheetData>
    <row r="1" spans="1:20" ht="17.100000000000001" customHeight="1">
      <c r="B1" s="531" t="s">
        <v>106</v>
      </c>
      <c r="C1" s="532" t="s">
        <v>166</v>
      </c>
      <c r="D1" s="533"/>
      <c r="E1" s="534" t="s">
        <v>108</v>
      </c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</row>
    <row r="2" spans="1:20" ht="17.100000000000001" customHeight="1">
      <c r="B2" s="531" t="s">
        <v>109</v>
      </c>
      <c r="C2" s="535" t="s">
        <v>228</v>
      </c>
      <c r="D2" s="536"/>
      <c r="E2" s="534" t="s">
        <v>110</v>
      </c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</row>
    <row r="3" spans="1:20" ht="17.100000000000001" customHeight="1">
      <c r="B3" s="531" t="s">
        <v>111</v>
      </c>
      <c r="C3" s="535"/>
      <c r="D3" s="537"/>
      <c r="E3" s="534" t="s">
        <v>112</v>
      </c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</row>
    <row r="4" spans="1:20" ht="17.100000000000001" customHeight="1">
      <c r="B4" s="538" t="s">
        <v>106</v>
      </c>
      <c r="C4" s="532" t="s">
        <v>166</v>
      </c>
      <c r="E4" s="539"/>
      <c r="F4" s="534" t="s">
        <v>108</v>
      </c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534"/>
      <c r="T4" s="534"/>
    </row>
    <row r="5" spans="1:20" ht="17.100000000000001" customHeight="1">
      <c r="B5" s="538" t="s">
        <v>109</v>
      </c>
      <c r="C5" s="535" t="s">
        <v>229</v>
      </c>
      <c r="E5" s="536"/>
      <c r="F5" s="534" t="s">
        <v>230</v>
      </c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4"/>
      <c r="S5" s="534"/>
      <c r="T5" s="534"/>
    </row>
    <row r="6" spans="1:20" ht="17.100000000000001" customHeight="1">
      <c r="B6" s="538" t="s">
        <v>111</v>
      </c>
      <c r="C6" s="535"/>
      <c r="E6" s="540"/>
      <c r="F6" s="534" t="s">
        <v>112</v>
      </c>
      <c r="G6" s="534"/>
      <c r="H6" s="534"/>
      <c r="I6" s="534"/>
      <c r="J6" s="534"/>
      <c r="K6" s="534"/>
      <c r="L6" s="534"/>
      <c r="M6" s="534"/>
      <c r="N6" s="534"/>
      <c r="O6" s="534"/>
      <c r="P6" s="534"/>
      <c r="Q6" s="534"/>
      <c r="R6" s="534"/>
      <c r="S6" s="534"/>
      <c r="T6" s="534"/>
    </row>
    <row r="7" spans="1:20" ht="17.100000000000001" customHeight="1">
      <c r="B7" s="538" t="s">
        <v>113</v>
      </c>
      <c r="C7" s="541">
        <f>'OUT - CFC - Bunga &amp; Angsuran'!H4</f>
        <v>0</v>
      </c>
      <c r="D7" s="542" t="s">
        <v>114</v>
      </c>
      <c r="E7" s="542" t="s">
        <v>114</v>
      </c>
      <c r="F7" s="542"/>
      <c r="G7" s="534"/>
      <c r="H7" s="534"/>
      <c r="I7" s="534"/>
      <c r="J7" s="534"/>
      <c r="K7" s="534"/>
      <c r="L7" s="534"/>
      <c r="M7" s="534"/>
      <c r="N7" s="534"/>
      <c r="O7" s="534"/>
      <c r="P7" s="534"/>
      <c r="Q7" s="534"/>
      <c r="R7" s="534"/>
      <c r="S7" s="534"/>
      <c r="T7" s="534"/>
    </row>
    <row r="8" spans="1:20" ht="17.100000000000001" customHeight="1">
      <c r="A8" s="543"/>
      <c r="B8" s="271"/>
      <c r="D8" s="544" t="s">
        <v>8</v>
      </c>
      <c r="E8" s="545" t="s">
        <v>9</v>
      </c>
      <c r="F8" s="545" t="s">
        <v>10</v>
      </c>
      <c r="G8" s="546" t="s">
        <v>11</v>
      </c>
      <c r="H8" s="547" t="s">
        <v>12</v>
      </c>
      <c r="I8" s="546" t="s">
        <v>13</v>
      </c>
      <c r="J8" s="547" t="s">
        <v>14</v>
      </c>
      <c r="K8" s="544" t="s">
        <v>8</v>
      </c>
      <c r="L8" s="545" t="s">
        <v>9</v>
      </c>
      <c r="M8" s="545" t="s">
        <v>10</v>
      </c>
      <c r="N8" s="546" t="s">
        <v>11</v>
      </c>
      <c r="O8" s="547" t="s">
        <v>12</v>
      </c>
      <c r="P8" s="546" t="s">
        <v>13</v>
      </c>
      <c r="Q8" s="547" t="s">
        <v>14</v>
      </c>
      <c r="R8" s="544" t="s">
        <v>8</v>
      </c>
      <c r="S8" s="545" t="s">
        <v>9</v>
      </c>
    </row>
    <row r="9" spans="1:20" ht="17.100000000000001" customHeight="1">
      <c r="A9" s="548" t="s">
        <v>196</v>
      </c>
      <c r="B9" s="549" t="s">
        <v>117</v>
      </c>
      <c r="C9" s="550" t="s">
        <v>118</v>
      </c>
      <c r="D9" s="551">
        <v>45947</v>
      </c>
      <c r="E9" s="551">
        <v>45948</v>
      </c>
      <c r="F9" s="551">
        <v>45949</v>
      </c>
      <c r="G9" s="551">
        <v>45950</v>
      </c>
      <c r="H9" s="551">
        <v>45951</v>
      </c>
      <c r="I9" s="551">
        <v>45952</v>
      </c>
      <c r="J9" s="551">
        <v>45953</v>
      </c>
      <c r="K9" s="551">
        <v>45954</v>
      </c>
      <c r="L9" s="551">
        <v>45955</v>
      </c>
      <c r="M9" s="551">
        <v>45956</v>
      </c>
      <c r="N9" s="551">
        <v>45957</v>
      </c>
      <c r="O9" s="551">
        <v>45958</v>
      </c>
      <c r="P9" s="551">
        <v>45959</v>
      </c>
      <c r="Q9" s="551">
        <v>45960</v>
      </c>
      <c r="R9" s="551">
        <v>45961</v>
      </c>
      <c r="S9" s="551">
        <v>45962</v>
      </c>
      <c r="T9" s="552" t="s">
        <v>28</v>
      </c>
    </row>
    <row r="10" spans="1:20" ht="17.100000000000001" customHeight="1">
      <c r="A10" s="553"/>
      <c r="B10" s="554"/>
      <c r="C10" s="555"/>
      <c r="D10" s="556"/>
      <c r="E10" s="556"/>
      <c r="F10" s="556"/>
      <c r="G10" s="556"/>
      <c r="H10" s="557"/>
      <c r="I10" s="557"/>
      <c r="J10" s="557"/>
      <c r="K10" s="557"/>
      <c r="L10" s="557"/>
      <c r="M10" s="557"/>
      <c r="N10" s="557"/>
      <c r="O10" s="557"/>
      <c r="P10" s="557"/>
      <c r="Q10" s="557"/>
      <c r="R10" s="557"/>
      <c r="S10" s="557"/>
      <c r="T10" s="557">
        <f t="shared" ref="T10:T20" si="0">SUM(D10:S10)</f>
        <v>0</v>
      </c>
    </row>
    <row r="11" spans="1:20" s="530" customFormat="1" ht="17.100000000000001" customHeight="1">
      <c r="A11" s="205"/>
      <c r="B11" s="558"/>
      <c r="C11" s="555"/>
      <c r="D11" s="559"/>
      <c r="E11" s="559"/>
      <c r="F11" s="559"/>
      <c r="G11" s="559"/>
      <c r="H11" s="559"/>
      <c r="I11" s="559"/>
      <c r="J11" s="559"/>
      <c r="K11" s="559"/>
      <c r="L11" s="559"/>
      <c r="M11" s="559"/>
      <c r="N11" s="559"/>
      <c r="O11" s="559"/>
      <c r="P11" s="559"/>
      <c r="Q11" s="271"/>
      <c r="R11" s="559"/>
      <c r="S11" s="559"/>
      <c r="T11" s="557">
        <f t="shared" si="0"/>
        <v>0</v>
      </c>
    </row>
    <row r="12" spans="1:20" s="561" customFormat="1" ht="17.100000000000001" customHeight="1">
      <c r="A12" s="560"/>
      <c r="B12" s="205"/>
      <c r="C12" s="555"/>
      <c r="D12" s="205"/>
      <c r="E12" s="559"/>
      <c r="F12" s="559"/>
      <c r="G12" s="559"/>
      <c r="H12" s="559"/>
      <c r="I12" s="559"/>
      <c r="J12" s="559"/>
      <c r="K12" s="559"/>
      <c r="L12" s="559"/>
      <c r="M12" s="559"/>
      <c r="N12" s="559"/>
      <c r="O12" s="559"/>
      <c r="P12" s="559"/>
      <c r="Q12" s="559"/>
      <c r="R12" s="559"/>
      <c r="S12" s="559"/>
      <c r="T12" s="557">
        <f t="shared" si="0"/>
        <v>0</v>
      </c>
    </row>
    <row r="13" spans="1:20" ht="17.100000000000001" customHeight="1">
      <c r="A13" s="560"/>
      <c r="B13" s="205"/>
      <c r="C13" s="555"/>
      <c r="D13" s="205"/>
      <c r="E13" s="559"/>
      <c r="F13" s="559"/>
      <c r="G13" s="559"/>
      <c r="H13" s="559"/>
      <c r="I13" s="559"/>
      <c r="J13" s="559"/>
      <c r="K13" s="559"/>
      <c r="L13" s="559"/>
      <c r="M13" s="559"/>
      <c r="N13" s="559"/>
      <c r="O13" s="559"/>
      <c r="P13" s="559"/>
      <c r="Q13" s="559"/>
      <c r="R13" s="559"/>
      <c r="S13" s="559"/>
      <c r="T13" s="557">
        <f t="shared" si="0"/>
        <v>0</v>
      </c>
    </row>
    <row r="14" spans="1:20" ht="17.100000000000001" customHeight="1">
      <c r="A14" s="562"/>
      <c r="B14" s="205"/>
      <c r="C14" s="555"/>
      <c r="D14" s="563"/>
      <c r="E14" s="559"/>
      <c r="F14" s="559"/>
      <c r="G14" s="559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7">
        <f t="shared" si="0"/>
        <v>0</v>
      </c>
    </row>
    <row r="15" spans="1:20" ht="17.100000000000001" customHeight="1">
      <c r="A15" s="564"/>
      <c r="B15" s="205" t="s">
        <v>162</v>
      </c>
      <c r="C15" s="555"/>
      <c r="D15" s="559"/>
      <c r="E15" s="559"/>
      <c r="F15" s="559"/>
      <c r="G15" s="559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7">
        <f t="shared" si="0"/>
        <v>0</v>
      </c>
    </row>
    <row r="16" spans="1:20" ht="17.100000000000001" customHeight="1">
      <c r="A16" s="564"/>
      <c r="B16" s="205" t="s">
        <v>162</v>
      </c>
      <c r="C16" s="555"/>
      <c r="D16" s="559"/>
      <c r="E16" s="559"/>
      <c r="F16" s="559"/>
      <c r="G16" s="559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7">
        <f t="shared" si="0"/>
        <v>0</v>
      </c>
    </row>
    <row r="17" spans="1:20" ht="17.100000000000001" customHeight="1">
      <c r="A17" s="564"/>
      <c r="B17" s="205" t="s">
        <v>162</v>
      </c>
      <c r="C17" s="555"/>
      <c r="D17" s="559"/>
      <c r="E17" s="559"/>
      <c r="F17" s="559"/>
      <c r="G17" s="559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7">
        <f t="shared" si="0"/>
        <v>0</v>
      </c>
    </row>
    <row r="18" spans="1:20" ht="17.100000000000001" customHeight="1">
      <c r="A18" s="564"/>
      <c r="B18" s="205" t="s">
        <v>162</v>
      </c>
      <c r="C18" s="555"/>
      <c r="D18" s="559"/>
      <c r="E18" s="559"/>
      <c r="F18" s="559"/>
      <c r="G18" s="55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7">
        <f t="shared" si="0"/>
        <v>0</v>
      </c>
    </row>
    <row r="19" spans="1:20" ht="17.100000000000001" customHeight="1">
      <c r="A19" s="564"/>
      <c r="B19" s="205" t="s">
        <v>162</v>
      </c>
      <c r="C19" s="555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7">
        <f t="shared" si="0"/>
        <v>0</v>
      </c>
    </row>
    <row r="20" spans="1:20" ht="17.100000000000001" customHeight="1">
      <c r="A20" s="565"/>
      <c r="B20" s="566" t="s">
        <v>162</v>
      </c>
      <c r="C20" s="555"/>
      <c r="D20" s="567"/>
      <c r="E20" s="567"/>
      <c r="F20" s="567"/>
      <c r="G20" s="567"/>
      <c r="H20" s="567"/>
      <c r="I20" s="567"/>
      <c r="J20" s="567"/>
      <c r="K20" s="567"/>
      <c r="L20" s="567"/>
      <c r="M20" s="567"/>
      <c r="N20" s="567"/>
      <c r="O20" s="567"/>
      <c r="P20" s="567"/>
      <c r="Q20" s="567"/>
      <c r="R20" s="567"/>
      <c r="S20" s="567"/>
      <c r="T20" s="568">
        <f t="shared" si="0"/>
        <v>0</v>
      </c>
    </row>
    <row r="21" spans="1:20" ht="17.100000000000001" customHeight="1">
      <c r="A21" s="564"/>
      <c r="B21" s="569" t="s">
        <v>231</v>
      </c>
      <c r="C21" s="570"/>
      <c r="D21" s="571">
        <f t="shared" ref="D21:T21" si="1">SUM(D10:D20)</f>
        <v>0</v>
      </c>
      <c r="E21" s="571">
        <f t="shared" si="1"/>
        <v>0</v>
      </c>
      <c r="F21" s="571">
        <f t="shared" si="1"/>
        <v>0</v>
      </c>
      <c r="G21" s="571">
        <f t="shared" si="1"/>
        <v>0</v>
      </c>
      <c r="H21" s="571">
        <f t="shared" si="1"/>
        <v>0</v>
      </c>
      <c r="I21" s="571">
        <f t="shared" si="1"/>
        <v>0</v>
      </c>
      <c r="J21" s="571">
        <f t="shared" si="1"/>
        <v>0</v>
      </c>
      <c r="K21" s="571">
        <f t="shared" si="1"/>
        <v>0</v>
      </c>
      <c r="L21" s="571">
        <f t="shared" si="1"/>
        <v>0</v>
      </c>
      <c r="M21" s="571">
        <f t="shared" si="1"/>
        <v>0</v>
      </c>
      <c r="N21" s="571">
        <f t="shared" si="1"/>
        <v>0</v>
      </c>
      <c r="O21" s="571">
        <f t="shared" si="1"/>
        <v>0</v>
      </c>
      <c r="P21" s="571">
        <f t="shared" si="1"/>
        <v>0</v>
      </c>
      <c r="Q21" s="571">
        <f t="shared" si="1"/>
        <v>0</v>
      </c>
      <c r="R21" s="571">
        <f t="shared" si="1"/>
        <v>0</v>
      </c>
      <c r="S21" s="571">
        <f t="shared" si="1"/>
        <v>0</v>
      </c>
      <c r="T21" s="571">
        <f t="shared" si="1"/>
        <v>0</v>
      </c>
    </row>
  </sheetData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512C-21B0-4603-A9A0-79787FCA5950}">
  <sheetPr>
    <tabColor theme="0"/>
  </sheetPr>
  <dimension ref="A1:T20"/>
  <sheetViews>
    <sheetView zoomScale="90" zoomScaleNormal="90" workbookViewId="0">
      <pane xSplit="2" ySplit="6" topLeftCell="C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0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2" customHeight="1">
      <c r="B2" s="112" t="s">
        <v>109</v>
      </c>
      <c r="C2" s="18" t="s">
        <v>232</v>
      </c>
      <c r="D2" s="151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0.15" customHeight="1">
      <c r="B3" s="112" t="s">
        <v>111</v>
      </c>
      <c r="C3" s="18"/>
      <c r="D3" s="152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12.75">
      <c r="A5" s="10"/>
      <c r="B5" s="15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</row>
    <row r="6" spans="1:20" ht="12.75">
      <c r="A6" s="306" t="s">
        <v>196</v>
      </c>
      <c r="B6" s="35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</row>
    <row r="7" spans="1:20" ht="15">
      <c r="A7" s="524"/>
      <c r="B7" s="525"/>
      <c r="C7" s="26"/>
      <c r="D7" s="269"/>
      <c r="E7" s="269"/>
      <c r="F7" s="269"/>
      <c r="G7" s="269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>
        <f t="shared" ref="T7:T17" si="0">SUM(D7:S7)</f>
        <v>0</v>
      </c>
    </row>
    <row r="8" spans="1:20" ht="27.75" customHeight="1">
      <c r="A8" s="86"/>
      <c r="B8" s="92"/>
      <c r="C8" s="2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R8" s="36"/>
      <c r="S8" s="36"/>
      <c r="T8" s="87">
        <f t="shared" si="0"/>
        <v>0</v>
      </c>
    </row>
    <row r="9" spans="1:20" ht="27.75" customHeight="1">
      <c r="A9" s="370"/>
      <c r="B9" s="86"/>
      <c r="C9" s="26"/>
      <c r="D9" s="8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87">
        <f t="shared" si="0"/>
        <v>0</v>
      </c>
    </row>
    <row r="10" spans="1:20" ht="27.75" customHeight="1">
      <c r="A10" s="370"/>
      <c r="B10" s="86"/>
      <c r="C10" s="26"/>
      <c r="D10" s="8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87">
        <f t="shared" si="0"/>
        <v>0</v>
      </c>
    </row>
    <row r="11" spans="1:20" ht="27.75" customHeight="1">
      <c r="A11" s="93"/>
      <c r="B11" s="86"/>
      <c r="C11" s="26"/>
      <c r="D11" s="161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7">
        <f t="shared" si="0"/>
        <v>0</v>
      </c>
    </row>
    <row r="12" spans="1:20" ht="27.75" customHeight="1">
      <c r="A12" s="91"/>
      <c r="B12" s="86" t="s">
        <v>162</v>
      </c>
      <c r="C12" s="2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7">
        <f t="shared" si="0"/>
        <v>0</v>
      </c>
    </row>
    <row r="13" spans="1:20" ht="27.75" customHeight="1">
      <c r="A13" s="91"/>
      <c r="B13" s="86" t="s">
        <v>162</v>
      </c>
      <c r="C13" s="2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7">
        <f t="shared" si="0"/>
        <v>0</v>
      </c>
    </row>
    <row r="14" spans="1:20" ht="27.75" customHeight="1">
      <c r="A14" s="91"/>
      <c r="B14" s="86" t="s">
        <v>162</v>
      </c>
      <c r="C14" s="2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7">
        <f t="shared" si="0"/>
        <v>0</v>
      </c>
    </row>
    <row r="15" spans="1:20" ht="27.75" customHeight="1">
      <c r="A15" s="91"/>
      <c r="B15" s="86" t="s">
        <v>162</v>
      </c>
      <c r="C15" s="2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7">
        <f t="shared" si="0"/>
        <v>0</v>
      </c>
    </row>
    <row r="16" spans="1:20" ht="27.75" customHeight="1">
      <c r="A16" s="91"/>
      <c r="B16" s="86" t="s">
        <v>162</v>
      </c>
      <c r="C16" s="2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7">
        <f t="shared" si="0"/>
        <v>0</v>
      </c>
    </row>
    <row r="17" spans="1:20" ht="27.75" customHeight="1">
      <c r="A17" s="91"/>
      <c r="B17" s="86" t="s">
        <v>162</v>
      </c>
      <c r="C17" s="2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7">
        <f t="shared" si="0"/>
        <v>0</v>
      </c>
    </row>
    <row r="18" spans="1:20" ht="27.75" customHeight="1">
      <c r="A18" s="91"/>
      <c r="B18" s="158" t="s">
        <v>234</v>
      </c>
      <c r="C18" s="29"/>
      <c r="D18" s="30">
        <f t="shared" ref="D18:T18" si="1">SUM(D7:D17)</f>
        <v>0</v>
      </c>
      <c r="E18" s="30">
        <f t="shared" si="1"/>
        <v>0</v>
      </c>
      <c r="F18" s="30">
        <f t="shared" si="1"/>
        <v>0</v>
      </c>
      <c r="G18" s="30">
        <f t="shared" si="1"/>
        <v>0</v>
      </c>
      <c r="H18" s="30">
        <f t="shared" si="1"/>
        <v>0</v>
      </c>
      <c r="I18" s="30">
        <f t="shared" si="1"/>
        <v>0</v>
      </c>
      <c r="J18" s="30">
        <f t="shared" si="1"/>
        <v>0</v>
      </c>
      <c r="K18" s="30">
        <f t="shared" si="1"/>
        <v>0</v>
      </c>
      <c r="L18" s="30">
        <f t="shared" si="1"/>
        <v>0</v>
      </c>
      <c r="M18" s="30">
        <f t="shared" si="1"/>
        <v>0</v>
      </c>
      <c r="N18" s="30">
        <f t="shared" si="1"/>
        <v>0</v>
      </c>
      <c r="O18" s="30">
        <f t="shared" si="1"/>
        <v>0</v>
      </c>
      <c r="P18" s="30">
        <f t="shared" si="1"/>
        <v>0</v>
      </c>
      <c r="Q18" s="30">
        <f t="shared" si="1"/>
        <v>0</v>
      </c>
      <c r="R18" s="30">
        <f t="shared" si="1"/>
        <v>0</v>
      </c>
      <c r="S18" s="30">
        <f t="shared" si="1"/>
        <v>0</v>
      </c>
      <c r="T18" s="30">
        <f t="shared" si="1"/>
        <v>0</v>
      </c>
    </row>
    <row r="19" spans="1:20">
      <c r="B19" s="114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spans="1:20">
      <c r="B20" s="114"/>
    </row>
  </sheetData>
  <phoneticPr fontId="10" type="noConversion"/>
  <dataValidations count="1">
    <dataValidation type="list" allowBlank="1" showInputMessage="1" showErrorMessage="1" sqref="B8:B10" xr:uid="{A564F0A0-5261-41B5-87DF-52D6EA2DF379}">
      <formula1>$V$7:$V$11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CA38-D06F-4B42-9682-827F3C70DD13}">
  <sheetPr>
    <tabColor theme="0"/>
  </sheetPr>
  <dimension ref="A1:T20"/>
  <sheetViews>
    <sheetView zoomScale="90" zoomScaleNormal="90" workbookViewId="0">
      <pane xSplit="2" ySplit="6" topLeftCell="C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0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2" customHeight="1">
      <c r="B2" s="112" t="s">
        <v>109</v>
      </c>
      <c r="C2" s="18" t="s">
        <v>235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12.75">
      <c r="A5" s="10"/>
      <c r="B5" s="15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</row>
    <row r="6" spans="1:20" ht="12.75">
      <c r="A6" s="306" t="s">
        <v>196</v>
      </c>
      <c r="B6" s="35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</row>
    <row r="7" spans="1:20" ht="15">
      <c r="A7" s="524"/>
      <c r="B7" s="525"/>
      <c r="C7" s="26"/>
      <c r="D7" s="269"/>
      <c r="E7" s="269"/>
      <c r="F7" s="269"/>
      <c r="G7" s="269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>
        <f t="shared" ref="T7:T17" si="0">SUM(D7:S7)</f>
        <v>0</v>
      </c>
    </row>
    <row r="8" spans="1:20" ht="27.75" customHeight="1">
      <c r="A8" s="86"/>
      <c r="B8" s="92"/>
      <c r="C8" s="2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R8" s="36"/>
      <c r="S8" s="36"/>
      <c r="T8" s="87">
        <f t="shared" si="0"/>
        <v>0</v>
      </c>
    </row>
    <row r="9" spans="1:20" ht="27.75" customHeight="1">
      <c r="A9" s="370"/>
      <c r="B9" s="86"/>
      <c r="C9" s="26"/>
      <c r="D9" s="8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87">
        <f t="shared" si="0"/>
        <v>0</v>
      </c>
    </row>
    <row r="10" spans="1:20" ht="27.75" customHeight="1">
      <c r="A10" s="370"/>
      <c r="B10" s="86"/>
      <c r="C10" s="26"/>
      <c r="D10" s="8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87">
        <f t="shared" si="0"/>
        <v>0</v>
      </c>
    </row>
    <row r="11" spans="1:20" ht="27.75" customHeight="1">
      <c r="A11" s="93"/>
      <c r="B11" s="86"/>
      <c r="C11" s="26"/>
      <c r="D11" s="161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7">
        <f t="shared" si="0"/>
        <v>0</v>
      </c>
    </row>
    <row r="12" spans="1:20" ht="27.75" customHeight="1">
      <c r="A12" s="91"/>
      <c r="B12" s="86" t="s">
        <v>162</v>
      </c>
      <c r="C12" s="2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7">
        <f t="shared" si="0"/>
        <v>0</v>
      </c>
    </row>
    <row r="13" spans="1:20" ht="27.75" customHeight="1">
      <c r="A13" s="91"/>
      <c r="B13" s="86" t="s">
        <v>162</v>
      </c>
      <c r="C13" s="2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7">
        <f t="shared" si="0"/>
        <v>0</v>
      </c>
    </row>
    <row r="14" spans="1:20" ht="27.75" customHeight="1">
      <c r="A14" s="91"/>
      <c r="B14" s="86" t="s">
        <v>162</v>
      </c>
      <c r="C14" s="2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7">
        <f t="shared" si="0"/>
        <v>0</v>
      </c>
    </row>
    <row r="15" spans="1:20" ht="27.75" customHeight="1">
      <c r="A15" s="91"/>
      <c r="B15" s="86" t="s">
        <v>162</v>
      </c>
      <c r="C15" s="2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7">
        <f t="shared" si="0"/>
        <v>0</v>
      </c>
    </row>
    <row r="16" spans="1:20" ht="27.75" customHeight="1">
      <c r="A16" s="91"/>
      <c r="B16" s="86" t="s">
        <v>162</v>
      </c>
      <c r="C16" s="2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7">
        <f t="shared" si="0"/>
        <v>0</v>
      </c>
    </row>
    <row r="17" spans="1:20" ht="27.75" customHeight="1">
      <c r="A17" s="91"/>
      <c r="B17" s="86" t="s">
        <v>162</v>
      </c>
      <c r="C17" s="2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7">
        <f t="shared" si="0"/>
        <v>0</v>
      </c>
    </row>
    <row r="18" spans="1:20" ht="27.75" customHeight="1">
      <c r="A18" s="91"/>
      <c r="B18" s="158" t="s">
        <v>236</v>
      </c>
      <c r="C18" s="29"/>
      <c r="D18" s="30">
        <f t="shared" ref="D18:T18" si="1">SUM(D7:D17)</f>
        <v>0</v>
      </c>
      <c r="E18" s="30">
        <f t="shared" si="1"/>
        <v>0</v>
      </c>
      <c r="F18" s="30">
        <f t="shared" si="1"/>
        <v>0</v>
      </c>
      <c r="G18" s="30">
        <f t="shared" si="1"/>
        <v>0</v>
      </c>
      <c r="H18" s="30">
        <f t="shared" si="1"/>
        <v>0</v>
      </c>
      <c r="I18" s="30">
        <f t="shared" si="1"/>
        <v>0</v>
      </c>
      <c r="J18" s="30">
        <f t="shared" si="1"/>
        <v>0</v>
      </c>
      <c r="K18" s="30">
        <f t="shared" si="1"/>
        <v>0</v>
      </c>
      <c r="L18" s="30">
        <f t="shared" si="1"/>
        <v>0</v>
      </c>
      <c r="M18" s="30">
        <f t="shared" si="1"/>
        <v>0</v>
      </c>
      <c r="N18" s="30">
        <f t="shared" si="1"/>
        <v>0</v>
      </c>
      <c r="O18" s="30">
        <f t="shared" si="1"/>
        <v>0</v>
      </c>
      <c r="P18" s="30">
        <f t="shared" si="1"/>
        <v>0</v>
      </c>
      <c r="Q18" s="30">
        <f t="shared" si="1"/>
        <v>0</v>
      </c>
      <c r="R18" s="30">
        <f t="shared" si="1"/>
        <v>0</v>
      </c>
      <c r="S18" s="30">
        <f t="shared" si="1"/>
        <v>0</v>
      </c>
      <c r="T18" s="30">
        <f t="shared" si="1"/>
        <v>0</v>
      </c>
    </row>
    <row r="19" spans="1:20">
      <c r="B19" s="114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spans="1:20">
      <c r="B20" s="114"/>
    </row>
  </sheetData>
  <phoneticPr fontId="10" type="noConversion"/>
  <dataValidations count="1">
    <dataValidation type="list" allowBlank="1" showInputMessage="1" showErrorMessage="1" sqref="B8:B10" xr:uid="{8B8A0F2D-0EA1-4A6F-8DCE-C0A3D7F88093}">
      <formula1>#REF!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7EF0-C3D9-4820-B490-621717DF5C45}">
  <sheetPr>
    <tabColor theme="0"/>
  </sheetPr>
  <dimension ref="A1:V31"/>
  <sheetViews>
    <sheetView zoomScale="90" zoomScaleNormal="90" workbookViewId="0">
      <pane xSplit="2" ySplit="6" topLeftCell="C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237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238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273"/>
      <c r="T8" s="273">
        <f>SUM(D8:S8)</f>
        <v>0</v>
      </c>
      <c r="U8" s="39"/>
      <c r="V8" s="39"/>
    </row>
    <row r="9" spans="1:22" ht="27.75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 t="shared" ref="T9:T11" si="0">SUM(D9:S9)</f>
        <v>0</v>
      </c>
      <c r="U9" s="39"/>
      <c r="V9" s="39"/>
    </row>
    <row r="10" spans="1:22" ht="27.75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273">
        <f t="shared" si="0"/>
        <v>0</v>
      </c>
      <c r="U10" s="39"/>
      <c r="V10" s="39"/>
    </row>
    <row r="11" spans="1:22" ht="27.75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273">
        <f t="shared" si="0"/>
        <v>0</v>
      </c>
      <c r="U11" s="39"/>
      <c r="V11" s="39"/>
    </row>
    <row r="12" spans="1:22" ht="27.75" customHeight="1">
      <c r="A12" s="86"/>
      <c r="B12" s="369" t="s">
        <v>28</v>
      </c>
      <c r="C12" s="88"/>
      <c r="D12" s="120">
        <f>SUM(D8:D11)</f>
        <v>0</v>
      </c>
      <c r="E12" s="120">
        <f t="shared" ref="E12:S12" si="1">SUM(E8:E11)</f>
        <v>0</v>
      </c>
      <c r="F12" s="120">
        <f t="shared" si="1"/>
        <v>0</v>
      </c>
      <c r="G12" s="120">
        <f t="shared" si="1"/>
        <v>0</v>
      </c>
      <c r="H12" s="120">
        <f t="shared" si="1"/>
        <v>0</v>
      </c>
      <c r="I12" s="120">
        <f t="shared" si="1"/>
        <v>0</v>
      </c>
      <c r="J12" s="120">
        <f t="shared" si="1"/>
        <v>0</v>
      </c>
      <c r="K12" s="120">
        <f t="shared" si="1"/>
        <v>0</v>
      </c>
      <c r="L12" s="120">
        <f>SUM(L8:L11)</f>
        <v>0</v>
      </c>
      <c r="M12" s="120">
        <f t="shared" si="1"/>
        <v>0</v>
      </c>
      <c r="N12" s="120">
        <f t="shared" si="1"/>
        <v>0</v>
      </c>
      <c r="O12" s="120">
        <f t="shared" si="1"/>
        <v>0</v>
      </c>
      <c r="P12" s="120">
        <f t="shared" si="1"/>
        <v>0</v>
      </c>
      <c r="Q12" s="120">
        <f t="shared" si="1"/>
        <v>0</v>
      </c>
      <c r="R12" s="120">
        <f t="shared" si="1"/>
        <v>0</v>
      </c>
      <c r="S12" s="120">
        <f t="shared" si="1"/>
        <v>0</v>
      </c>
      <c r="T12" s="273">
        <f>SUM(T8:T11)</f>
        <v>0</v>
      </c>
      <c r="U12" s="39"/>
      <c r="V12" s="39"/>
    </row>
    <row r="13" spans="1:22" ht="27.75" customHeight="1">
      <c r="B13" s="11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9"/>
      <c r="V13" s="39"/>
    </row>
    <row r="14" spans="1:22" ht="27.75" customHeight="1">
      <c r="A14" s="39"/>
      <c r="B14" s="529"/>
      <c r="C14" s="417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39"/>
      <c r="V14" s="39"/>
    </row>
    <row r="15" spans="1:22" ht="27.75" customHeight="1">
      <c r="B15" s="114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9"/>
      <c r="V15" s="39"/>
    </row>
    <row r="16" spans="1:22" ht="27.75" customHeight="1">
      <c r="B16" s="114"/>
      <c r="U16" s="39"/>
      <c r="V16" s="39"/>
    </row>
    <row r="17" spans="21:22" ht="27.75" customHeight="1">
      <c r="U17" s="39"/>
      <c r="V17" s="39"/>
    </row>
    <row r="18" spans="21:22" ht="27.75" customHeight="1">
      <c r="U18" s="39"/>
      <c r="V18" s="39"/>
    </row>
    <row r="19" spans="21:22" ht="27.75" customHeight="1">
      <c r="U19" s="39"/>
      <c r="V19" s="39"/>
    </row>
    <row r="20" spans="21:22" ht="27.75" customHeight="1">
      <c r="U20" s="39"/>
      <c r="V20" s="39"/>
    </row>
    <row r="21" spans="21:22" ht="27.75" customHeight="1">
      <c r="U21" s="39"/>
      <c r="V21" s="39"/>
    </row>
    <row r="22" spans="21:22" ht="27.75" customHeight="1">
      <c r="U22" s="39"/>
      <c r="V22" s="39"/>
    </row>
    <row r="23" spans="21:22" ht="27.75" customHeight="1">
      <c r="U23" s="39"/>
      <c r="V23" s="39"/>
    </row>
    <row r="24" spans="21:22" ht="27.75" customHeight="1">
      <c r="U24" s="39"/>
      <c r="V24" s="39"/>
    </row>
    <row r="25" spans="21:22" ht="27.75" customHeight="1">
      <c r="U25" s="39"/>
      <c r="V25" s="39"/>
    </row>
    <row r="26" spans="21:22" ht="27.75" customHeight="1">
      <c r="U26" s="39"/>
      <c r="V26" s="39"/>
    </row>
    <row r="27" spans="21:22">
      <c r="U27" s="39"/>
      <c r="V27" s="39"/>
    </row>
    <row r="28" spans="21:22">
      <c r="U28" s="39"/>
      <c r="V28" s="39"/>
    </row>
    <row r="29" spans="21:22">
      <c r="U29" s="39"/>
      <c r="V29" s="39"/>
    </row>
    <row r="30" spans="21:22">
      <c r="U30" s="39"/>
      <c r="V30" s="39"/>
    </row>
    <row r="31" spans="21:22">
      <c r="U31" s="39"/>
      <c r="V31" s="39"/>
    </row>
  </sheetData>
  <phoneticPr fontId="10" type="noConversion"/>
  <dataValidations count="1">
    <dataValidation type="list" allowBlank="1" showInputMessage="1" showErrorMessage="1" sqref="A11 B8:B9" xr:uid="{25749E65-F1C2-4E27-A6DE-1FD86A543E2F}">
      <formula1>$V$7:$V$9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6AD1-2469-494F-8B0B-91571ECB48BB}">
  <sheetPr>
    <tabColor theme="0"/>
  </sheetPr>
  <dimension ref="A1:V31"/>
  <sheetViews>
    <sheetView zoomScale="90" zoomScaleNormal="90" workbookViewId="0">
      <pane xSplit="2" ySplit="6" topLeftCell="C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239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238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273"/>
      <c r="T8" s="273">
        <f>SUM(D8:S8)</f>
        <v>0</v>
      </c>
      <c r="U8" s="39"/>
      <c r="V8" s="39"/>
    </row>
    <row r="9" spans="1:22" ht="27.75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>SUM(D9:S9)</f>
        <v>0</v>
      </c>
      <c r="U9" s="39"/>
      <c r="V9" s="39"/>
    </row>
    <row r="10" spans="1:22" ht="27.75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273">
        <f>SUM(D10:S10)</f>
        <v>0</v>
      </c>
      <c r="U10" s="39"/>
      <c r="V10" s="39"/>
    </row>
    <row r="11" spans="1:22" ht="27.75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273">
        <f>SUM(D11:S11)</f>
        <v>0</v>
      </c>
      <c r="U11" s="39"/>
      <c r="V11" s="39"/>
    </row>
    <row r="12" spans="1:22" ht="27.75" customHeight="1">
      <c r="A12" s="86"/>
      <c r="B12" s="369" t="s">
        <v>28</v>
      </c>
      <c r="C12" s="88"/>
      <c r="D12" s="120">
        <f t="shared" ref="D12:S12" si="0">SUM(D8:D11)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273">
        <f>SUM(D12:S12)</f>
        <v>0</v>
      </c>
      <c r="U12" s="39"/>
      <c r="V12" s="39"/>
    </row>
    <row r="13" spans="1:22" ht="27.75" customHeight="1">
      <c r="B13" s="11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9"/>
      <c r="V13" s="39"/>
    </row>
    <row r="14" spans="1:22" ht="27.75" customHeight="1">
      <c r="A14" s="39"/>
      <c r="B14" s="528"/>
      <c r="C14" s="417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39"/>
      <c r="V14" s="39"/>
    </row>
    <row r="15" spans="1:22" ht="27.75" customHeight="1">
      <c r="B15" s="114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9"/>
      <c r="V15" s="39"/>
    </row>
    <row r="16" spans="1:22" ht="27.75" customHeight="1">
      <c r="B16" s="114"/>
      <c r="U16" s="39"/>
      <c r="V16" s="39"/>
    </row>
    <row r="17" spans="21:22" ht="27.75" customHeight="1">
      <c r="U17" s="39"/>
      <c r="V17" s="39"/>
    </row>
    <row r="18" spans="21:22" ht="27.75" customHeight="1">
      <c r="U18" s="39"/>
      <c r="V18" s="39"/>
    </row>
    <row r="19" spans="21:22" ht="27.75" customHeight="1">
      <c r="U19" s="39"/>
      <c r="V19" s="39"/>
    </row>
    <row r="20" spans="21:22" ht="27.75" customHeight="1">
      <c r="U20" s="39"/>
      <c r="V20" s="39"/>
    </row>
    <row r="21" spans="21:22" ht="27.75" customHeight="1">
      <c r="U21" s="39"/>
      <c r="V21" s="39"/>
    </row>
    <row r="22" spans="21:22" ht="27.75" customHeight="1">
      <c r="U22" s="39"/>
      <c r="V22" s="39"/>
    </row>
    <row r="23" spans="21:22" ht="27.75" customHeight="1">
      <c r="U23" s="39"/>
      <c r="V23" s="39"/>
    </row>
    <row r="24" spans="21:22" ht="27.75" customHeight="1">
      <c r="U24" s="39"/>
      <c r="V24" s="39"/>
    </row>
    <row r="25" spans="21:22" ht="27.75" customHeight="1">
      <c r="U25" s="39"/>
      <c r="V25" s="39"/>
    </row>
    <row r="26" spans="21:22" ht="27.75" customHeight="1">
      <c r="U26" s="39"/>
      <c r="V26" s="39"/>
    </row>
    <row r="27" spans="21:22">
      <c r="U27" s="39"/>
      <c r="V27" s="39"/>
    </row>
    <row r="28" spans="21:22">
      <c r="U28" s="39"/>
      <c r="V28" s="39"/>
    </row>
    <row r="29" spans="21:22">
      <c r="U29" s="39"/>
      <c r="V29" s="39"/>
    </row>
    <row r="30" spans="21:22">
      <c r="U30" s="39"/>
      <c r="V30" s="39"/>
    </row>
    <row r="31" spans="21:22">
      <c r="U31" s="39"/>
      <c r="V31" s="39"/>
    </row>
  </sheetData>
  <phoneticPr fontId="10" type="noConversion"/>
  <dataValidations count="1">
    <dataValidation type="list" allowBlank="1" showInputMessage="1" showErrorMessage="1" sqref="A11 B8:B9" xr:uid="{62BA0D40-EB0D-48E5-BEE1-A443423881CB}">
      <formula1>$V$7:$V$9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13E9-BCAB-4E01-A1BB-65E9E128541F}">
  <sheetPr>
    <tabColor theme="0"/>
  </sheetPr>
  <dimension ref="A1:V45"/>
  <sheetViews>
    <sheetView zoomScale="90" zoomScaleNormal="90" workbookViewId="0">
      <pane xSplit="2" ySplit="6" topLeftCell="M18" activePane="bottomRight" state="frozen"/>
      <selection pane="topRight" activeCell="E1" sqref="E1"/>
      <selection pane="bottomLeft" activeCell="A7" sqref="A7"/>
      <selection pane="bottomRight" activeCell="V25" sqref="V25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523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240</v>
      </c>
      <c r="D2" s="514"/>
      <c r="E2" s="656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514"/>
      <c r="E3" s="657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238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458" t="s">
        <v>241</v>
      </c>
      <c r="B8" s="273">
        <v>8000000</v>
      </c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>
        <v>8000000</v>
      </c>
      <c r="P8" s="273"/>
      <c r="Q8" s="273"/>
      <c r="R8" s="273"/>
      <c r="S8" s="273"/>
      <c r="T8" s="273">
        <f>SUM(D8:S8)</f>
        <v>8000000</v>
      </c>
      <c r="U8" s="39"/>
      <c r="V8" s="39"/>
    </row>
    <row r="9" spans="1:22" ht="27.75" customHeight="1">
      <c r="A9" s="515" t="s">
        <v>242</v>
      </c>
      <c r="B9" s="273">
        <v>1200000</v>
      </c>
      <c r="C9" s="457"/>
      <c r="D9" s="87"/>
      <c r="E9" s="87"/>
      <c r="F9" s="87"/>
      <c r="G9" s="87"/>
      <c r="H9" s="87">
        <v>1200000</v>
      </c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 t="shared" ref="T9:T25" si="0">SUM(D9:S9)</f>
        <v>1200000</v>
      </c>
      <c r="U9" s="39"/>
      <c r="V9" s="39"/>
    </row>
    <row r="10" spans="1:22" ht="27.75" customHeight="1">
      <c r="A10" s="458" t="s">
        <v>243</v>
      </c>
      <c r="B10" s="273">
        <v>9000000</v>
      </c>
      <c r="C10" s="457"/>
      <c r="D10" s="87"/>
      <c r="E10" s="87"/>
      <c r="F10" s="87"/>
      <c r="G10" s="87"/>
      <c r="H10" s="87">
        <v>4500000</v>
      </c>
      <c r="I10" s="87"/>
      <c r="J10" s="36"/>
      <c r="K10" s="272"/>
      <c r="L10" s="272"/>
      <c r="M10" s="272"/>
      <c r="N10" s="273"/>
      <c r="O10" s="87">
        <v>4500000</v>
      </c>
      <c r="P10" s="273"/>
      <c r="Q10" s="273"/>
      <c r="R10" s="273"/>
      <c r="S10" s="273"/>
      <c r="T10" s="273">
        <f t="shared" si="0"/>
        <v>9000000</v>
      </c>
      <c r="U10" s="39"/>
      <c r="V10" s="39"/>
    </row>
    <row r="11" spans="1:22" ht="27.75" customHeight="1">
      <c r="A11" s="458" t="s">
        <v>244</v>
      </c>
      <c r="B11" s="273">
        <v>600000</v>
      </c>
      <c r="C11" s="457"/>
      <c r="D11" s="87"/>
      <c r="E11" s="87"/>
      <c r="F11" s="87"/>
      <c r="G11" s="87"/>
      <c r="H11" s="87">
        <v>300000</v>
      </c>
      <c r="I11" s="87"/>
      <c r="J11" s="36"/>
      <c r="K11" s="272"/>
      <c r="L11" s="272"/>
      <c r="M11" s="272"/>
      <c r="N11" s="273"/>
      <c r="O11" s="87">
        <v>300000</v>
      </c>
      <c r="P11" s="273"/>
      <c r="Q11" s="273"/>
      <c r="R11" s="273"/>
      <c r="S11" s="273"/>
      <c r="T11" s="273">
        <f t="shared" si="0"/>
        <v>600000</v>
      </c>
      <c r="U11" s="39"/>
      <c r="V11" s="39"/>
    </row>
    <row r="12" spans="1:22" ht="27.75" customHeight="1">
      <c r="A12" s="458" t="s">
        <v>245</v>
      </c>
      <c r="B12" s="273">
        <v>80000</v>
      </c>
      <c r="C12" s="457"/>
      <c r="D12" s="87"/>
      <c r="E12" s="87"/>
      <c r="F12" s="87"/>
      <c r="G12" s="87"/>
      <c r="H12" s="87">
        <v>40000</v>
      </c>
      <c r="I12" s="87"/>
      <c r="J12" s="36"/>
      <c r="K12" s="272"/>
      <c r="L12" s="272"/>
      <c r="M12" s="272"/>
      <c r="N12" s="273"/>
      <c r="O12" s="87">
        <v>40000</v>
      </c>
      <c r="P12" s="273"/>
      <c r="Q12" s="273"/>
      <c r="R12" s="273"/>
      <c r="S12" s="273"/>
      <c r="T12" s="273">
        <f t="shared" si="0"/>
        <v>80000</v>
      </c>
      <c r="U12" s="39"/>
      <c r="V12" s="39"/>
    </row>
    <row r="13" spans="1:22" ht="27.75" customHeight="1">
      <c r="A13" s="458" t="s">
        <v>246</v>
      </c>
      <c r="B13" s="273">
        <v>600000</v>
      </c>
      <c r="C13" s="457"/>
      <c r="D13" s="87"/>
      <c r="E13" s="87"/>
      <c r="F13" s="87"/>
      <c r="G13" s="87"/>
      <c r="H13" s="87"/>
      <c r="I13" s="87"/>
      <c r="J13" s="36"/>
      <c r="K13" s="272"/>
      <c r="L13" s="272"/>
      <c r="M13" s="272"/>
      <c r="N13" s="273"/>
      <c r="O13" s="273">
        <v>600000</v>
      </c>
      <c r="P13" s="273"/>
      <c r="Q13" s="273"/>
      <c r="R13" s="273"/>
      <c r="S13" s="273"/>
      <c r="T13" s="273">
        <f t="shared" si="0"/>
        <v>600000</v>
      </c>
      <c r="U13" s="39"/>
      <c r="V13" s="39"/>
    </row>
    <row r="14" spans="1:22" ht="27.75" customHeight="1">
      <c r="A14" s="515" t="s">
        <v>247</v>
      </c>
      <c r="B14" s="273">
        <v>1000000</v>
      </c>
      <c r="C14" s="457"/>
      <c r="D14" s="87"/>
      <c r="E14" s="87"/>
      <c r="F14" s="87"/>
      <c r="G14" s="87"/>
      <c r="H14" s="87"/>
      <c r="I14" s="87"/>
      <c r="J14" s="36"/>
      <c r="K14" s="272"/>
      <c r="L14" s="272"/>
      <c r="M14" s="272"/>
      <c r="N14" s="273"/>
      <c r="O14" s="273">
        <v>1000000</v>
      </c>
      <c r="P14" s="273"/>
      <c r="Q14" s="273"/>
      <c r="R14" s="273"/>
      <c r="S14" s="273"/>
      <c r="T14" s="273">
        <f t="shared" si="0"/>
        <v>1000000</v>
      </c>
      <c r="U14" s="39"/>
      <c r="V14" s="39"/>
    </row>
    <row r="15" spans="1:22" ht="27.75" customHeight="1">
      <c r="A15" s="458" t="s">
        <v>248</v>
      </c>
      <c r="B15" s="273">
        <v>300000</v>
      </c>
      <c r="C15" s="457"/>
      <c r="D15" s="87"/>
      <c r="E15" s="87"/>
      <c r="F15" s="87"/>
      <c r="G15" s="87"/>
      <c r="H15" s="87"/>
      <c r="I15" s="87"/>
      <c r="J15" s="36">
        <v>300000</v>
      </c>
      <c r="K15" s="272"/>
      <c r="L15" s="272"/>
      <c r="M15" s="272"/>
      <c r="N15" s="273"/>
      <c r="O15" s="273"/>
      <c r="P15" s="273"/>
      <c r="Q15" s="273"/>
      <c r="R15" s="273"/>
      <c r="S15" s="273"/>
      <c r="T15" s="273">
        <f t="shared" si="0"/>
        <v>300000</v>
      </c>
      <c r="U15" s="39"/>
      <c r="V15" s="39"/>
    </row>
    <row r="16" spans="1:22" ht="27.75" customHeight="1">
      <c r="A16" s="458" t="s">
        <v>249</v>
      </c>
      <c r="B16" s="273">
        <v>300000</v>
      </c>
      <c r="C16" s="457"/>
      <c r="D16" s="87"/>
      <c r="E16" s="87"/>
      <c r="F16" s="87"/>
      <c r="G16" s="87"/>
      <c r="H16" s="87"/>
      <c r="I16" s="87"/>
      <c r="J16" s="36"/>
      <c r="K16" s="272"/>
      <c r="L16" s="272"/>
      <c r="M16" s="272"/>
      <c r="N16" s="273"/>
      <c r="O16" s="273"/>
      <c r="P16" s="273"/>
      <c r="Q16" s="273">
        <v>300000</v>
      </c>
      <c r="R16" s="273"/>
      <c r="S16" s="273"/>
      <c r="T16" s="273">
        <f t="shared" si="0"/>
        <v>300000</v>
      </c>
      <c r="U16" s="39"/>
      <c r="V16" s="39"/>
    </row>
    <row r="17" spans="1:22" ht="27.75" customHeight="1">
      <c r="A17" s="458" t="s">
        <v>250</v>
      </c>
      <c r="B17" s="273">
        <v>1000000</v>
      </c>
      <c r="C17" s="457"/>
      <c r="D17" s="87"/>
      <c r="E17" s="87"/>
      <c r="F17" s="87"/>
      <c r="G17" s="87"/>
      <c r="H17" s="87"/>
      <c r="I17" s="87"/>
      <c r="J17" s="36"/>
      <c r="K17" s="272"/>
      <c r="L17" s="272"/>
      <c r="M17" s="272"/>
      <c r="N17" s="273"/>
      <c r="O17" s="273">
        <v>1000000</v>
      </c>
      <c r="P17" s="273"/>
      <c r="Q17" s="273"/>
      <c r="R17" s="273"/>
      <c r="S17" s="273"/>
      <c r="T17" s="273">
        <f t="shared" si="0"/>
        <v>1000000</v>
      </c>
      <c r="U17" s="39"/>
      <c r="V17" s="39"/>
    </row>
    <row r="18" spans="1:22" ht="27.75" customHeight="1">
      <c r="A18" s="458" t="s">
        <v>251</v>
      </c>
      <c r="B18" s="273">
        <v>300000</v>
      </c>
      <c r="C18" s="457"/>
      <c r="D18" s="87"/>
      <c r="E18" s="87"/>
      <c r="F18" s="87"/>
      <c r="G18" s="87"/>
      <c r="H18" s="87">
        <v>300000</v>
      </c>
      <c r="I18" s="87"/>
      <c r="J18" s="36"/>
      <c r="K18" s="272"/>
      <c r="L18" s="272"/>
      <c r="M18" s="272"/>
      <c r="N18" s="273"/>
      <c r="O18" s="273"/>
      <c r="P18" s="273"/>
      <c r="Q18" s="273"/>
      <c r="R18" s="273"/>
      <c r="S18" s="273"/>
      <c r="T18" s="273">
        <f t="shared" si="0"/>
        <v>300000</v>
      </c>
      <c r="U18" s="39"/>
      <c r="V18" s="39"/>
    </row>
    <row r="19" spans="1:22" ht="27.75" customHeight="1">
      <c r="A19" s="515" t="s">
        <v>252</v>
      </c>
      <c r="B19" s="273">
        <v>300000</v>
      </c>
      <c r="C19" s="457"/>
      <c r="D19" s="87"/>
      <c r="E19" s="87"/>
      <c r="F19" s="87"/>
      <c r="G19" s="87"/>
      <c r="H19" s="87"/>
      <c r="I19" s="87"/>
      <c r="J19" s="36"/>
      <c r="K19" s="272"/>
      <c r="L19" s="272"/>
      <c r="M19" s="272"/>
      <c r="N19" s="273"/>
      <c r="O19" s="273">
        <v>300000</v>
      </c>
      <c r="P19" s="273"/>
      <c r="Q19" s="273"/>
      <c r="R19" s="273"/>
      <c r="S19" s="273"/>
      <c r="T19" s="273">
        <f t="shared" si="0"/>
        <v>300000</v>
      </c>
      <c r="U19" s="39"/>
      <c r="V19" s="39"/>
    </row>
    <row r="20" spans="1:22" ht="27.75" customHeight="1">
      <c r="A20" s="515" t="s">
        <v>253</v>
      </c>
      <c r="B20" s="273">
        <v>600000</v>
      </c>
      <c r="C20" s="457"/>
      <c r="D20" s="87"/>
      <c r="E20" s="87"/>
      <c r="F20" s="87"/>
      <c r="G20" s="87"/>
      <c r="H20" s="87">
        <v>600000</v>
      </c>
      <c r="I20" s="87"/>
      <c r="J20" s="36"/>
      <c r="K20" s="272"/>
      <c r="L20" s="272"/>
      <c r="M20" s="272"/>
      <c r="N20" s="273"/>
      <c r="O20" s="273"/>
      <c r="P20" s="273"/>
      <c r="Q20" s="273"/>
      <c r="R20" s="273"/>
      <c r="S20" s="273"/>
      <c r="T20" s="273">
        <f t="shared" si="0"/>
        <v>600000</v>
      </c>
      <c r="U20" s="39"/>
      <c r="V20" s="39"/>
    </row>
    <row r="21" spans="1:22" ht="27.75" customHeight="1">
      <c r="A21" s="458" t="s">
        <v>254</v>
      </c>
      <c r="B21" s="273">
        <v>300000</v>
      </c>
      <c r="C21" s="457"/>
      <c r="D21" s="87"/>
      <c r="E21" s="87"/>
      <c r="F21" s="87"/>
      <c r="G21" s="87"/>
      <c r="H21" s="87">
        <v>300000</v>
      </c>
      <c r="I21" s="87"/>
      <c r="J21" s="36"/>
      <c r="K21" s="272"/>
      <c r="L21" s="272"/>
      <c r="M21" s="272"/>
      <c r="N21" s="273"/>
      <c r="O21" s="273"/>
      <c r="P21" s="273"/>
      <c r="Q21" s="273"/>
      <c r="R21" s="273"/>
      <c r="S21" s="273"/>
      <c r="T21" s="273">
        <f t="shared" si="0"/>
        <v>300000</v>
      </c>
      <c r="U21" s="39"/>
      <c r="V21" s="39"/>
    </row>
    <row r="22" spans="1:22" ht="27.75" customHeight="1">
      <c r="A22" s="515" t="s">
        <v>255</v>
      </c>
      <c r="B22" s="273">
        <v>2300000</v>
      </c>
      <c r="C22" s="457"/>
      <c r="D22" s="87"/>
      <c r="E22" s="87"/>
      <c r="F22" s="87"/>
      <c r="G22" s="87"/>
      <c r="H22" s="87"/>
      <c r="I22" s="87"/>
      <c r="J22" s="36"/>
      <c r="K22" s="272"/>
      <c r="L22" s="272"/>
      <c r="M22" s="272"/>
      <c r="N22" s="273"/>
      <c r="O22" s="273"/>
      <c r="P22" s="273"/>
      <c r="Q22" s="273">
        <v>2300000</v>
      </c>
      <c r="R22" s="273"/>
      <c r="S22" s="273"/>
      <c r="T22" s="273">
        <f t="shared" si="0"/>
        <v>2300000</v>
      </c>
      <c r="U22" s="39"/>
      <c r="V22" s="39"/>
    </row>
    <row r="23" spans="1:22" ht="27.75" customHeight="1">
      <c r="A23" s="515" t="s">
        <v>256</v>
      </c>
      <c r="B23" s="273">
        <v>660000</v>
      </c>
      <c r="C23" s="457"/>
      <c r="D23" s="87"/>
      <c r="E23" s="87"/>
      <c r="F23" s="87"/>
      <c r="G23" s="87"/>
      <c r="H23" s="87">
        <v>660000</v>
      </c>
      <c r="I23" s="87"/>
      <c r="J23" s="36"/>
      <c r="K23" s="272"/>
      <c r="L23" s="272"/>
      <c r="M23" s="272"/>
      <c r="N23" s="273"/>
      <c r="O23" s="273"/>
      <c r="P23" s="273"/>
      <c r="Q23" s="273"/>
      <c r="R23" s="273"/>
      <c r="S23" s="273"/>
      <c r="T23" s="273">
        <f t="shared" si="0"/>
        <v>660000</v>
      </c>
      <c r="U23" s="39"/>
      <c r="V23" s="39"/>
    </row>
    <row r="24" spans="1:22" ht="27.75" customHeight="1">
      <c r="A24" s="458"/>
      <c r="B24" s="429"/>
      <c r="C24" s="457"/>
      <c r="D24" s="87"/>
      <c r="E24" s="87"/>
      <c r="F24" s="87"/>
      <c r="G24" s="87"/>
      <c r="H24" s="87"/>
      <c r="I24" s="87"/>
      <c r="J24" s="36"/>
      <c r="K24" s="272"/>
      <c r="L24" s="272"/>
      <c r="M24" s="272"/>
      <c r="N24" s="273"/>
      <c r="O24" s="273"/>
      <c r="P24" s="273"/>
      <c r="Q24" s="273"/>
      <c r="R24" s="273"/>
      <c r="S24" s="273"/>
      <c r="T24" s="273">
        <f t="shared" si="0"/>
        <v>0</v>
      </c>
      <c r="U24" s="39"/>
      <c r="V24" s="39"/>
    </row>
    <row r="25" spans="1:22" ht="27.75" customHeight="1">
      <c r="A25" s="91"/>
      <c r="B25" s="344"/>
      <c r="C25" s="239"/>
      <c r="D25" s="87"/>
      <c r="E25" s="87"/>
      <c r="F25" s="87"/>
      <c r="G25" s="87"/>
      <c r="H25" s="87"/>
      <c r="I25" s="87"/>
      <c r="J25" s="36"/>
      <c r="K25" s="272"/>
      <c r="L25" s="272"/>
      <c r="M25" s="272"/>
      <c r="N25" s="273"/>
      <c r="O25" s="273"/>
      <c r="P25" s="273"/>
      <c r="Q25" s="273"/>
      <c r="R25" s="273"/>
      <c r="S25" s="273"/>
      <c r="T25" s="273">
        <f t="shared" si="0"/>
        <v>0</v>
      </c>
      <c r="U25" s="39"/>
      <c r="V25" s="39"/>
    </row>
    <row r="26" spans="1:22" s="271" customFormat="1" ht="27.75" customHeight="1">
      <c r="A26" s="205"/>
      <c r="B26" s="658" t="s">
        <v>28</v>
      </c>
      <c r="C26" s="659"/>
      <c r="D26" s="660">
        <f t="shared" ref="D26:S26" si="1">SUM(D8:D25)</f>
        <v>0</v>
      </c>
      <c r="E26" s="660">
        <f t="shared" si="1"/>
        <v>0</v>
      </c>
      <c r="F26" s="660">
        <f t="shared" si="1"/>
        <v>0</v>
      </c>
      <c r="G26" s="660">
        <f t="shared" si="1"/>
        <v>0</v>
      </c>
      <c r="H26" s="660">
        <f t="shared" si="1"/>
        <v>7900000</v>
      </c>
      <c r="I26" s="660">
        <f t="shared" si="1"/>
        <v>0</v>
      </c>
      <c r="J26" s="660">
        <f t="shared" si="1"/>
        <v>300000</v>
      </c>
      <c r="K26" s="660">
        <f t="shared" si="1"/>
        <v>0</v>
      </c>
      <c r="L26" s="660">
        <f t="shared" si="1"/>
        <v>0</v>
      </c>
      <c r="M26" s="660">
        <f t="shared" si="1"/>
        <v>0</v>
      </c>
      <c r="N26" s="660">
        <f t="shared" si="1"/>
        <v>0</v>
      </c>
      <c r="O26" s="660">
        <f t="shared" si="1"/>
        <v>15740000</v>
      </c>
      <c r="P26" s="660">
        <f t="shared" si="1"/>
        <v>0</v>
      </c>
      <c r="Q26" s="660">
        <f t="shared" si="1"/>
        <v>2600000</v>
      </c>
      <c r="R26" s="660">
        <f t="shared" si="1"/>
        <v>0</v>
      </c>
      <c r="S26" s="660">
        <f t="shared" si="1"/>
        <v>0</v>
      </c>
      <c r="T26" s="661">
        <f>SUM(D26:S26)</f>
        <v>26540000</v>
      </c>
      <c r="U26" s="561"/>
      <c r="V26" s="561"/>
    </row>
    <row r="27" spans="1:22" ht="27.75" customHeight="1">
      <c r="B27" s="114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9"/>
      <c r="V27" s="39"/>
    </row>
    <row r="28" spans="1:22" ht="27.75" customHeight="1">
      <c r="A28" s="39"/>
      <c r="B28" s="528"/>
      <c r="C28" s="417"/>
      <c r="D28" s="514"/>
      <c r="E28" s="514"/>
      <c r="F28" s="514"/>
      <c r="G28" s="514"/>
      <c r="H28" s="514"/>
      <c r="I28" s="514"/>
      <c r="J28" s="514"/>
      <c r="K28" s="514"/>
      <c r="L28" s="514"/>
      <c r="M28" s="514"/>
      <c r="N28" s="514"/>
      <c r="O28" s="514"/>
      <c r="P28" s="514"/>
      <c r="Q28" s="514"/>
      <c r="R28" s="514"/>
      <c r="S28" s="514"/>
      <c r="T28" s="514"/>
      <c r="U28" s="39"/>
      <c r="V28" s="39"/>
    </row>
    <row r="29" spans="1:22" ht="27.75" customHeight="1">
      <c r="B29" s="114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9"/>
      <c r="V29" s="39"/>
    </row>
    <row r="30" spans="1:22" ht="27.75" customHeight="1">
      <c r="B30" s="114"/>
      <c r="U30" s="39"/>
      <c r="V30" s="39"/>
    </row>
    <row r="31" spans="1:22" ht="27.75" customHeight="1">
      <c r="U31" s="39"/>
      <c r="V31" s="39"/>
    </row>
    <row r="32" spans="1:22" ht="27.75" customHeight="1">
      <c r="U32" s="39"/>
      <c r="V32" s="39"/>
    </row>
    <row r="33" spans="21:22" ht="27.75" customHeight="1">
      <c r="U33" s="39"/>
      <c r="V33" s="39"/>
    </row>
    <row r="34" spans="21:22" ht="27.75" customHeight="1">
      <c r="U34" s="39"/>
      <c r="V34" s="39"/>
    </row>
    <row r="35" spans="21:22" ht="27.75" customHeight="1">
      <c r="U35" s="39"/>
      <c r="V35" s="39"/>
    </row>
    <row r="36" spans="21:22" ht="27.75" customHeight="1">
      <c r="U36" s="39"/>
      <c r="V36" s="39"/>
    </row>
    <row r="37" spans="21:22" ht="27.75" customHeight="1">
      <c r="U37" s="39"/>
      <c r="V37" s="39"/>
    </row>
    <row r="38" spans="21:22" ht="27.75" customHeight="1">
      <c r="U38" s="39"/>
      <c r="V38" s="39"/>
    </row>
    <row r="39" spans="21:22" ht="27.75" customHeight="1">
      <c r="U39" s="39"/>
      <c r="V39" s="39"/>
    </row>
    <row r="40" spans="21:22" ht="27.75" customHeight="1">
      <c r="U40" s="39"/>
      <c r="V40" s="39"/>
    </row>
    <row r="41" spans="21:22">
      <c r="U41" s="39"/>
      <c r="V41" s="39"/>
    </row>
    <row r="42" spans="21:22">
      <c r="U42" s="39"/>
      <c r="V42" s="39"/>
    </row>
    <row r="43" spans="21:22">
      <c r="U43" s="39"/>
      <c r="V43" s="39"/>
    </row>
    <row r="44" spans="21:22">
      <c r="U44" s="39"/>
      <c r="V44" s="39"/>
    </row>
    <row r="45" spans="21:22">
      <c r="U45" s="39"/>
      <c r="V45" s="39"/>
    </row>
  </sheetData>
  <phoneticPr fontId="10" type="noConversion"/>
  <dataValidations count="1">
    <dataValidation type="list" allowBlank="1" showInputMessage="1" showErrorMessage="1" sqref="A25 B24" xr:uid="{81235CBD-FAB1-4429-A3EB-4BEAC5C2B203}">
      <formula1>$V$7:$V$24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D658-F9B7-40C8-A3CE-BB57FF12369B}">
  <sheetPr>
    <tabColor theme="0"/>
  </sheetPr>
  <dimension ref="A1:V34"/>
  <sheetViews>
    <sheetView zoomScale="90" zoomScaleNormal="90" workbookViewId="0">
      <pane xSplit="2" ySplit="6" topLeftCell="L9" activePane="bottomRight" state="frozen"/>
      <selection pane="topRight" activeCell="E1" sqref="E1"/>
      <selection pane="bottomLeft" activeCell="A7" sqref="A7"/>
      <selection pane="bottomRight" activeCell="R17" sqref="R17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257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116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715" t="s">
        <v>699</v>
      </c>
      <c r="B8" s="726">
        <v>5500000</v>
      </c>
      <c r="C8" s="716"/>
      <c r="D8" s="717"/>
      <c r="E8" s="717"/>
      <c r="F8" s="717"/>
      <c r="G8" s="717"/>
      <c r="H8" s="717"/>
      <c r="I8" s="717"/>
      <c r="J8" s="718"/>
      <c r="K8" s="719"/>
      <c r="L8" s="719">
        <v>5500000</v>
      </c>
      <c r="M8" s="719"/>
      <c r="N8" s="720"/>
      <c r="O8" s="720"/>
      <c r="P8" s="720"/>
      <c r="Q8" s="720"/>
      <c r="R8" s="720"/>
      <c r="S8" s="720"/>
      <c r="T8" s="273">
        <f>SUM(D8:S8)</f>
        <v>5500000</v>
      </c>
      <c r="U8" s="39"/>
      <c r="V8" s="39"/>
    </row>
    <row r="9" spans="1:22" ht="27.75" customHeight="1">
      <c r="A9" s="715" t="s">
        <v>700</v>
      </c>
      <c r="B9" s="726">
        <v>5000000</v>
      </c>
      <c r="C9" s="716"/>
      <c r="D9" s="717"/>
      <c r="E9" s="717"/>
      <c r="F9" s="717"/>
      <c r="G9" s="717"/>
      <c r="H9" s="717"/>
      <c r="I9" s="717"/>
      <c r="J9" s="718"/>
      <c r="K9" s="719"/>
      <c r="L9" s="719"/>
      <c r="M9" s="719"/>
      <c r="N9" s="720"/>
      <c r="O9" s="720">
        <v>5000000</v>
      </c>
      <c r="P9" s="720"/>
      <c r="Q9" s="720"/>
      <c r="R9" s="720"/>
      <c r="S9" s="720"/>
      <c r="T9" s="273">
        <f t="shared" ref="T9:T12" si="0">SUM(D9:S9)</f>
        <v>5000000</v>
      </c>
      <c r="U9" s="39"/>
      <c r="V9" s="39"/>
    </row>
    <row r="10" spans="1:22" ht="27.75" customHeight="1">
      <c r="A10" s="715" t="s">
        <v>701</v>
      </c>
      <c r="B10" s="726">
        <v>2000000</v>
      </c>
      <c r="C10" s="716"/>
      <c r="D10" s="717"/>
      <c r="E10" s="717"/>
      <c r="F10" s="717"/>
      <c r="G10" s="717"/>
      <c r="H10" s="717"/>
      <c r="I10" s="717"/>
      <c r="J10" s="719">
        <v>2000000</v>
      </c>
      <c r="K10" s="719"/>
      <c r="L10" s="719"/>
      <c r="M10" s="719"/>
      <c r="N10" s="720"/>
      <c r="O10" s="720"/>
      <c r="P10" s="720"/>
      <c r="Q10" s="720"/>
      <c r="R10" s="720"/>
      <c r="S10" s="720"/>
      <c r="T10" s="273">
        <f t="shared" si="0"/>
        <v>2000000</v>
      </c>
      <c r="U10" s="39"/>
      <c r="V10" s="39"/>
    </row>
    <row r="11" spans="1:22" ht="27.75" customHeight="1">
      <c r="A11" s="458" t="s">
        <v>702</v>
      </c>
      <c r="B11" s="727">
        <v>2000000</v>
      </c>
      <c r="C11" s="721"/>
      <c r="D11" s="717"/>
      <c r="E11" s="717"/>
      <c r="F11" s="717"/>
      <c r="G11" s="717"/>
      <c r="H11" s="722"/>
      <c r="I11" s="717"/>
      <c r="J11" s="718"/>
      <c r="K11" s="719">
        <v>2000000</v>
      </c>
      <c r="L11" s="719"/>
      <c r="M11" s="719"/>
      <c r="N11" s="720"/>
      <c r="O11" s="720"/>
      <c r="P11" s="720"/>
      <c r="Q11" s="720"/>
      <c r="R11" s="720"/>
      <c r="S11" s="720"/>
      <c r="T11" s="273">
        <f t="shared" si="0"/>
        <v>2000000</v>
      </c>
      <c r="U11" s="39"/>
      <c r="V11" s="39"/>
    </row>
    <row r="12" spans="1:22" ht="27.75" customHeight="1">
      <c r="A12" s="715" t="s">
        <v>703</v>
      </c>
      <c r="B12" s="727">
        <v>2000000</v>
      </c>
      <c r="C12" s="723"/>
      <c r="D12" s="724"/>
      <c r="E12" s="724"/>
      <c r="F12" s="724"/>
      <c r="G12" s="724"/>
      <c r="H12" s="724"/>
      <c r="I12" s="724"/>
      <c r="J12" s="724"/>
      <c r="K12" s="724"/>
      <c r="L12" s="724"/>
      <c r="M12" s="724"/>
      <c r="N12" s="724"/>
      <c r="O12" s="725">
        <v>2000000</v>
      </c>
      <c r="P12" s="724"/>
      <c r="Q12" s="724"/>
      <c r="R12" s="724"/>
      <c r="S12" s="724"/>
      <c r="T12" s="273">
        <f t="shared" si="0"/>
        <v>2000000</v>
      </c>
      <c r="U12" s="39"/>
      <c r="V12" s="39"/>
    </row>
    <row r="13" spans="1:22" ht="27.75" customHeight="1">
      <c r="A13" s="458"/>
      <c r="B13" s="429"/>
      <c r="C13" s="457"/>
      <c r="D13" s="87"/>
      <c r="E13" s="87"/>
      <c r="F13" s="87"/>
      <c r="G13" s="87"/>
      <c r="H13" s="87"/>
      <c r="I13" s="87"/>
      <c r="J13" s="36"/>
      <c r="K13" s="272"/>
      <c r="L13" s="272"/>
      <c r="M13" s="272"/>
      <c r="N13" s="273"/>
      <c r="O13" s="273"/>
      <c r="P13" s="273"/>
      <c r="Q13" s="273"/>
      <c r="R13" s="273"/>
      <c r="S13" s="273"/>
      <c r="T13" s="273">
        <f>SUM(D13:S13)</f>
        <v>0</v>
      </c>
      <c r="U13" s="39"/>
      <c r="V13" s="39"/>
    </row>
    <row r="14" spans="1:22" ht="27.75" customHeight="1">
      <c r="A14" s="91"/>
      <c r="B14" s="344"/>
      <c r="C14" s="239"/>
      <c r="D14" s="87"/>
      <c r="E14" s="87"/>
      <c r="F14" s="87"/>
      <c r="G14" s="87"/>
      <c r="H14" s="87"/>
      <c r="I14" s="87"/>
      <c r="J14" s="36"/>
      <c r="K14" s="272"/>
      <c r="L14" s="272"/>
      <c r="M14" s="272"/>
      <c r="N14" s="273"/>
      <c r="O14" s="273"/>
      <c r="P14" s="273"/>
      <c r="Q14" s="273"/>
      <c r="R14" s="273"/>
      <c r="S14" s="273"/>
      <c r="T14" s="273">
        <f>SUM(D14:S14)</f>
        <v>0</v>
      </c>
      <c r="U14" s="39"/>
      <c r="V14" s="39"/>
    </row>
    <row r="15" spans="1:22" ht="27.75" customHeight="1">
      <c r="A15" s="86"/>
      <c r="B15" s="369" t="s">
        <v>28</v>
      </c>
      <c r="C15" s="88"/>
      <c r="D15" s="120">
        <f>SUM(D8:D14)</f>
        <v>0</v>
      </c>
      <c r="E15" s="120">
        <f t="shared" ref="E15:S15" si="1">SUM(E8:E14)</f>
        <v>0</v>
      </c>
      <c r="F15" s="120">
        <f t="shared" si="1"/>
        <v>0</v>
      </c>
      <c r="G15" s="120">
        <f t="shared" si="1"/>
        <v>0</v>
      </c>
      <c r="H15" s="120">
        <f t="shared" si="1"/>
        <v>0</v>
      </c>
      <c r="I15" s="120">
        <f t="shared" si="1"/>
        <v>0</v>
      </c>
      <c r="J15" s="120">
        <f t="shared" si="1"/>
        <v>2000000</v>
      </c>
      <c r="K15" s="120">
        <f t="shared" si="1"/>
        <v>2000000</v>
      </c>
      <c r="L15" s="120">
        <f t="shared" si="1"/>
        <v>5500000</v>
      </c>
      <c r="M15" s="120">
        <f t="shared" si="1"/>
        <v>0</v>
      </c>
      <c r="N15" s="120">
        <f t="shared" si="1"/>
        <v>0</v>
      </c>
      <c r="O15" s="120">
        <f t="shared" si="1"/>
        <v>7000000</v>
      </c>
      <c r="P15" s="120">
        <f t="shared" si="1"/>
        <v>0</v>
      </c>
      <c r="Q15" s="120">
        <f t="shared" si="1"/>
        <v>0</v>
      </c>
      <c r="R15" s="120">
        <f t="shared" si="1"/>
        <v>0</v>
      </c>
      <c r="S15" s="120">
        <f t="shared" si="1"/>
        <v>0</v>
      </c>
      <c r="T15" s="273">
        <f>SUM(D15:S15)</f>
        <v>16500000</v>
      </c>
      <c r="U15" s="39"/>
      <c r="V15" s="39"/>
    </row>
    <row r="16" spans="1:22" ht="27.75" customHeight="1">
      <c r="B16" s="114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9"/>
      <c r="V16" s="39"/>
    </row>
    <row r="17" spans="1:22" ht="27.75" customHeight="1">
      <c r="A17" s="39"/>
      <c r="B17" s="528"/>
      <c r="C17" s="417"/>
      <c r="D17" s="514"/>
      <c r="E17" s="514"/>
      <c r="F17" s="514"/>
      <c r="G17" s="514"/>
      <c r="H17" s="514"/>
      <c r="I17" s="514"/>
      <c r="J17" s="514"/>
      <c r="K17" s="514"/>
      <c r="L17" s="514"/>
      <c r="M17" s="514"/>
      <c r="N17" s="514"/>
      <c r="O17" s="514"/>
      <c r="P17" s="514"/>
      <c r="Q17" s="514"/>
      <c r="R17" s="514"/>
      <c r="S17" s="514"/>
      <c r="T17" s="514"/>
      <c r="U17" s="39"/>
      <c r="V17" s="39"/>
    </row>
    <row r="18" spans="1:22" ht="27.75" customHeight="1">
      <c r="B18" s="114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9"/>
      <c r="V18" s="39"/>
    </row>
    <row r="19" spans="1:22" ht="27.75" customHeight="1">
      <c r="B19" s="114"/>
      <c r="U19" s="39"/>
      <c r="V19" s="39"/>
    </row>
    <row r="20" spans="1:22" ht="27.75" customHeight="1">
      <c r="U20" s="39"/>
      <c r="V20" s="39"/>
    </row>
    <row r="21" spans="1:22" ht="27.75" customHeight="1">
      <c r="U21" s="39"/>
      <c r="V21" s="39"/>
    </row>
    <row r="22" spans="1:22" ht="27.75" customHeight="1">
      <c r="U22" s="39"/>
      <c r="V22" s="39"/>
    </row>
    <row r="23" spans="1:22" ht="27.75" customHeight="1">
      <c r="U23" s="39"/>
      <c r="V23" s="39"/>
    </row>
    <row r="24" spans="1:22" ht="27.75" customHeight="1">
      <c r="U24" s="39"/>
      <c r="V24" s="39"/>
    </row>
    <row r="25" spans="1:22" ht="27.75" customHeight="1">
      <c r="U25" s="39"/>
      <c r="V25" s="39"/>
    </row>
    <row r="26" spans="1:22" ht="27.75" customHeight="1">
      <c r="U26" s="39"/>
      <c r="V26" s="39"/>
    </row>
    <row r="27" spans="1:22" ht="27.75" customHeight="1">
      <c r="U27" s="39"/>
      <c r="V27" s="39"/>
    </row>
    <row r="28" spans="1:22" ht="27.75" customHeight="1">
      <c r="U28" s="39"/>
      <c r="V28" s="39"/>
    </row>
    <row r="29" spans="1:22" ht="27.75" customHeight="1">
      <c r="U29" s="39"/>
      <c r="V29" s="39"/>
    </row>
    <row r="30" spans="1:22">
      <c r="U30" s="39"/>
      <c r="V30" s="39"/>
    </row>
    <row r="31" spans="1:22">
      <c r="U31" s="39"/>
      <c r="V31" s="39"/>
    </row>
    <row r="32" spans="1:22">
      <c r="U32" s="39"/>
      <c r="V32" s="39"/>
    </row>
    <row r="33" spans="21:22">
      <c r="U33" s="39"/>
      <c r="V33" s="39"/>
    </row>
    <row r="34" spans="21:22">
      <c r="U34" s="39"/>
      <c r="V34" s="39"/>
    </row>
  </sheetData>
  <phoneticPr fontId="10" type="noConversion"/>
  <dataValidations count="2">
    <dataValidation type="list" allowBlank="1" showInputMessage="1" showErrorMessage="1" sqref="A14" xr:uid="{DEA435D1-1C3F-4100-AE38-B09E23B09681}">
      <formula1>$V$7:$V$12</formula1>
    </dataValidation>
    <dataValidation type="list" allowBlank="1" showInputMessage="1" showErrorMessage="1" sqref="B8:B9" xr:uid="{A78A6C1C-AD92-4952-ADC2-A31393DBE8A9}">
      <formula1>$V$7:$V$9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7143-E7FA-4E5F-A9A6-632EAAD83ED0}">
  <sheetPr>
    <tabColor theme="0"/>
  </sheetPr>
  <dimension ref="A1:V31"/>
  <sheetViews>
    <sheetView zoomScale="90" zoomScaleNormal="90" workbookViewId="0">
      <pane xSplit="2" ySplit="6" topLeftCell="C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258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238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273"/>
      <c r="T8" s="273">
        <f>SUM(D8:S8)</f>
        <v>0</v>
      </c>
      <c r="U8" s="39"/>
      <c r="V8" s="39"/>
    </row>
    <row r="9" spans="1:22" ht="27.75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>SUM(D9:S9)</f>
        <v>0</v>
      </c>
      <c r="U9" s="39"/>
      <c r="V9" s="39"/>
    </row>
    <row r="10" spans="1:22" ht="27.75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273">
        <f>SUM(D10:S10)</f>
        <v>0</v>
      </c>
      <c r="U10" s="39"/>
      <c r="V10" s="39"/>
    </row>
    <row r="11" spans="1:22" ht="27.75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273">
        <f>SUM(D11:S11)</f>
        <v>0</v>
      </c>
      <c r="U11" s="39"/>
      <c r="V11" s="39"/>
    </row>
    <row r="12" spans="1:22" ht="27.75" customHeight="1">
      <c r="A12" s="86"/>
      <c r="B12" s="369" t="s">
        <v>28</v>
      </c>
      <c r="C12" s="88"/>
      <c r="D12" s="120">
        <f t="shared" ref="D12:S12" si="0">SUM(D8:D11)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273">
        <f>SUM(D12:S12)</f>
        <v>0</v>
      </c>
      <c r="U12" s="39"/>
      <c r="V12" s="39"/>
    </row>
    <row r="13" spans="1:22" ht="27.75" customHeight="1">
      <c r="B13" s="11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9"/>
      <c r="V13" s="39"/>
    </row>
    <row r="14" spans="1:22" ht="27.75" customHeight="1">
      <c r="A14" s="39"/>
      <c r="B14" s="528"/>
      <c r="C14" s="417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39"/>
      <c r="V14" s="39"/>
    </row>
    <row r="15" spans="1:22" ht="27.75" customHeight="1">
      <c r="B15" s="114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9"/>
      <c r="V15" s="39"/>
    </row>
    <row r="16" spans="1:22" ht="27.75" customHeight="1">
      <c r="B16" s="114"/>
      <c r="U16" s="39"/>
      <c r="V16" s="39"/>
    </row>
    <row r="17" spans="21:22" ht="27.75" customHeight="1">
      <c r="U17" s="39"/>
      <c r="V17" s="39"/>
    </row>
    <row r="18" spans="21:22" ht="27.75" customHeight="1">
      <c r="U18" s="39"/>
      <c r="V18" s="39"/>
    </row>
    <row r="19" spans="21:22" ht="27.75" customHeight="1">
      <c r="U19" s="39"/>
      <c r="V19" s="39"/>
    </row>
    <row r="20" spans="21:22" ht="27.75" customHeight="1">
      <c r="U20" s="39"/>
      <c r="V20" s="39"/>
    </row>
    <row r="21" spans="21:22" ht="27.75" customHeight="1">
      <c r="U21" s="39"/>
      <c r="V21" s="39"/>
    </row>
    <row r="22" spans="21:22" ht="27.75" customHeight="1">
      <c r="U22" s="39"/>
      <c r="V22" s="39"/>
    </row>
    <row r="23" spans="21:22" ht="27.75" customHeight="1">
      <c r="U23" s="39"/>
      <c r="V23" s="39"/>
    </row>
    <row r="24" spans="21:22" ht="27.75" customHeight="1">
      <c r="U24" s="39"/>
      <c r="V24" s="39"/>
    </row>
    <row r="25" spans="21:22" ht="27.75" customHeight="1">
      <c r="U25" s="39"/>
      <c r="V25" s="39"/>
    </row>
    <row r="26" spans="21:22" ht="27.75" customHeight="1">
      <c r="U26" s="39"/>
      <c r="V26" s="39"/>
    </row>
    <row r="27" spans="21:22">
      <c r="U27" s="39"/>
      <c r="V27" s="39"/>
    </row>
    <row r="28" spans="21:22">
      <c r="U28" s="39"/>
      <c r="V28" s="39"/>
    </row>
    <row r="29" spans="21:22">
      <c r="U29" s="39"/>
      <c r="V29" s="39"/>
    </row>
    <row r="30" spans="21:22">
      <c r="U30" s="39"/>
      <c r="V30" s="39"/>
    </row>
    <row r="31" spans="21:22">
      <c r="U31" s="39"/>
      <c r="V31" s="39"/>
    </row>
  </sheetData>
  <phoneticPr fontId="10" type="noConversion"/>
  <dataValidations count="1">
    <dataValidation type="list" allowBlank="1" showInputMessage="1" showErrorMessage="1" sqref="A11 B8:B9" xr:uid="{29AFAF94-9F96-4B4D-84BF-30764BA584ED}">
      <formula1>$V$7:$V$9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1DC0-7EFD-4B45-9927-740FD6F00D84}">
  <sheetPr>
    <tabColor theme="0"/>
  </sheetPr>
  <dimension ref="A1:V31"/>
  <sheetViews>
    <sheetView zoomScale="90" zoomScaleNormal="90" workbookViewId="0">
      <pane xSplit="2" ySplit="6" topLeftCell="C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259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238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273"/>
      <c r="T8" s="273">
        <f>SUM(D8:S8)</f>
        <v>0</v>
      </c>
      <c r="U8" s="39"/>
      <c r="V8" s="39"/>
    </row>
    <row r="9" spans="1:22" ht="27.75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>SUM(D9:S9)</f>
        <v>0</v>
      </c>
      <c r="U9" s="39"/>
      <c r="V9" s="39"/>
    </row>
    <row r="10" spans="1:22" ht="27.75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273">
        <f>SUM(D10:S10)</f>
        <v>0</v>
      </c>
      <c r="U10" s="39"/>
      <c r="V10" s="39"/>
    </row>
    <row r="11" spans="1:22" ht="27.75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273">
        <f>SUM(D11:S11)</f>
        <v>0</v>
      </c>
      <c r="U11" s="39"/>
      <c r="V11" s="39"/>
    </row>
    <row r="12" spans="1:22" ht="27.75" customHeight="1">
      <c r="A12" s="86"/>
      <c r="B12" s="369" t="s">
        <v>28</v>
      </c>
      <c r="C12" s="88"/>
      <c r="D12" s="120">
        <f t="shared" ref="D12:S12" si="0">SUM(D8:D11)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273">
        <f>SUM(D12:S12)</f>
        <v>0</v>
      </c>
      <c r="U12" s="39"/>
      <c r="V12" s="39"/>
    </row>
    <row r="13" spans="1:22" ht="27.75" customHeight="1">
      <c r="B13" s="11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9"/>
      <c r="V13" s="39"/>
    </row>
    <row r="14" spans="1:22" ht="27.75" customHeight="1">
      <c r="A14" s="39"/>
      <c r="B14" s="528"/>
      <c r="C14" s="417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39"/>
      <c r="V14" s="39"/>
    </row>
    <row r="15" spans="1:22" ht="27.75" customHeight="1">
      <c r="B15" s="114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9"/>
      <c r="V15" s="39"/>
    </row>
    <row r="16" spans="1:22" ht="27.75" customHeight="1">
      <c r="B16" s="114"/>
      <c r="U16" s="39"/>
      <c r="V16" s="39"/>
    </row>
    <row r="17" spans="21:22" ht="27.75" customHeight="1">
      <c r="U17" s="39"/>
      <c r="V17" s="39"/>
    </row>
    <row r="18" spans="21:22" ht="27.75" customHeight="1">
      <c r="U18" s="39"/>
      <c r="V18" s="39"/>
    </row>
    <row r="19" spans="21:22" ht="27.75" customHeight="1">
      <c r="U19" s="39"/>
      <c r="V19" s="39"/>
    </row>
    <row r="20" spans="21:22" ht="27.75" customHeight="1">
      <c r="U20" s="39"/>
      <c r="V20" s="39"/>
    </row>
    <row r="21" spans="21:22" ht="27.75" customHeight="1">
      <c r="U21" s="39"/>
      <c r="V21" s="39"/>
    </row>
    <row r="22" spans="21:22" ht="27.75" customHeight="1">
      <c r="U22" s="39"/>
      <c r="V22" s="39"/>
    </row>
    <row r="23" spans="21:22" ht="27.75" customHeight="1">
      <c r="U23" s="39"/>
      <c r="V23" s="39"/>
    </row>
    <row r="24" spans="21:22" ht="27.75" customHeight="1">
      <c r="U24" s="39"/>
      <c r="V24" s="39"/>
    </row>
    <row r="25" spans="21:22" ht="27.75" customHeight="1">
      <c r="U25" s="39"/>
      <c r="V25" s="39"/>
    </row>
    <row r="26" spans="21:22" ht="27.75" customHeight="1">
      <c r="U26" s="39"/>
      <c r="V26" s="39"/>
    </row>
    <row r="27" spans="21:22">
      <c r="U27" s="39"/>
      <c r="V27" s="39"/>
    </row>
    <row r="28" spans="21:22">
      <c r="U28" s="39"/>
      <c r="V28" s="39"/>
    </row>
    <row r="29" spans="21:22">
      <c r="U29" s="39"/>
      <c r="V29" s="39"/>
    </row>
    <row r="30" spans="21:22">
      <c r="U30" s="39"/>
      <c r="V30" s="39"/>
    </row>
    <row r="31" spans="21:22">
      <c r="U31" s="39"/>
      <c r="V31" s="39"/>
    </row>
  </sheetData>
  <phoneticPr fontId="10" type="noConversion"/>
  <dataValidations count="1">
    <dataValidation type="list" allowBlank="1" showInputMessage="1" showErrorMessage="1" sqref="A11 B8:B9" xr:uid="{598C3E7C-1E36-4652-80EC-ECF0813C8335}">
      <formula1>$V$7:$V$9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535C-0761-49DF-984C-97B7F9EE988A}">
  <sheetPr>
    <tabColor theme="0"/>
  </sheetPr>
  <dimension ref="A1:V31"/>
  <sheetViews>
    <sheetView zoomScale="90" zoomScaleNormal="90" workbookViewId="0">
      <pane xSplit="2" ySplit="6" topLeftCell="C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260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238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273"/>
      <c r="T8" s="273">
        <f>SUM(D8:S8)</f>
        <v>0</v>
      </c>
      <c r="U8" s="39"/>
      <c r="V8" s="39"/>
    </row>
    <row r="9" spans="1:22" ht="27.75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>SUM(D9:S9)</f>
        <v>0</v>
      </c>
      <c r="U9" s="39"/>
      <c r="V9" s="39"/>
    </row>
    <row r="10" spans="1:22" ht="27.75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273">
        <f>SUM(D10:S10)</f>
        <v>0</v>
      </c>
      <c r="U10" s="39"/>
      <c r="V10" s="39"/>
    </row>
    <row r="11" spans="1:22" ht="27.75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273">
        <f>SUM(D11:S11)</f>
        <v>0</v>
      </c>
      <c r="U11" s="39"/>
      <c r="V11" s="39"/>
    </row>
    <row r="12" spans="1:22" ht="27.75" customHeight="1">
      <c r="A12" s="86"/>
      <c r="B12" s="369" t="s">
        <v>28</v>
      </c>
      <c r="C12" s="88"/>
      <c r="D12" s="120">
        <f t="shared" ref="D12:S12" si="0">SUM(D8:D11)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273">
        <f>SUM(D12:S12)</f>
        <v>0</v>
      </c>
      <c r="U12" s="39"/>
      <c r="V12" s="39"/>
    </row>
    <row r="13" spans="1:22" ht="27.75" customHeight="1">
      <c r="B13" s="11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9"/>
      <c r="V13" s="39"/>
    </row>
    <row r="14" spans="1:22" ht="27.75" customHeight="1">
      <c r="A14" s="39"/>
      <c r="B14" s="528"/>
      <c r="C14" s="417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</row>
    <row r="15" spans="1:22" ht="27.75" customHeight="1">
      <c r="B15" s="114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9"/>
      <c r="V15" s="39"/>
    </row>
    <row r="16" spans="1:22" ht="27.75" customHeight="1">
      <c r="B16" s="114"/>
      <c r="U16" s="39"/>
      <c r="V16" s="39"/>
    </row>
    <row r="17" spans="21:22" ht="27.75" customHeight="1">
      <c r="U17" s="39"/>
      <c r="V17" s="39"/>
    </row>
    <row r="18" spans="21:22" ht="27.75" customHeight="1">
      <c r="U18" s="39"/>
      <c r="V18" s="39"/>
    </row>
    <row r="19" spans="21:22" ht="27.75" customHeight="1">
      <c r="U19" s="39"/>
      <c r="V19" s="39"/>
    </row>
    <row r="20" spans="21:22" ht="27.75" customHeight="1">
      <c r="U20" s="39"/>
      <c r="V20" s="39"/>
    </row>
    <row r="21" spans="21:22" ht="27.75" customHeight="1">
      <c r="U21" s="39"/>
      <c r="V21" s="39"/>
    </row>
    <row r="22" spans="21:22" ht="27.75" customHeight="1">
      <c r="U22" s="39"/>
      <c r="V22" s="39"/>
    </row>
    <row r="23" spans="21:22" ht="27.75" customHeight="1">
      <c r="U23" s="39"/>
      <c r="V23" s="39"/>
    </row>
    <row r="24" spans="21:22" ht="27.75" customHeight="1">
      <c r="U24" s="39"/>
      <c r="V24" s="39"/>
    </row>
    <row r="25" spans="21:22" ht="27.75" customHeight="1">
      <c r="U25" s="39"/>
      <c r="V25" s="39"/>
    </row>
    <row r="26" spans="21:22" ht="27.75" customHeight="1">
      <c r="U26" s="39"/>
      <c r="V26" s="39"/>
    </row>
    <row r="27" spans="21:22">
      <c r="U27" s="39"/>
      <c r="V27" s="39"/>
    </row>
    <row r="28" spans="21:22">
      <c r="U28" s="39"/>
      <c r="V28" s="39"/>
    </row>
    <row r="29" spans="21:22">
      <c r="U29" s="39"/>
      <c r="V29" s="39"/>
    </row>
    <row r="30" spans="21:22">
      <c r="U30" s="39"/>
      <c r="V30" s="39"/>
    </row>
    <row r="31" spans="21:22">
      <c r="U31" s="39"/>
      <c r="V31" s="39"/>
    </row>
  </sheetData>
  <phoneticPr fontId="10" type="noConversion"/>
  <dataValidations count="1">
    <dataValidation type="list" allowBlank="1" showInputMessage="1" showErrorMessage="1" sqref="A11 B8:B9" xr:uid="{4A701F69-FBEC-4738-91CC-1428F994BC9C}">
      <formula1>$V$7:$V$9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5497-9E14-4DFF-AC69-F022C0DD3FD3}">
  <sheetPr>
    <tabColor theme="0"/>
  </sheetPr>
  <dimension ref="A1:V31"/>
  <sheetViews>
    <sheetView zoomScale="90" zoomScaleNormal="90" workbookViewId="0">
      <pane xSplit="2" ySplit="6" topLeftCell="C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261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238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273"/>
      <c r="T8" s="273">
        <f>SUM(D8:S8)</f>
        <v>0</v>
      </c>
      <c r="U8" s="39"/>
      <c r="V8" s="39"/>
    </row>
    <row r="9" spans="1:22" ht="27.75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>SUM(D9:S9)</f>
        <v>0</v>
      </c>
      <c r="U9" s="39"/>
      <c r="V9" s="39"/>
    </row>
    <row r="10" spans="1:22" ht="27.75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273">
        <f>SUM(D10:S10)</f>
        <v>0</v>
      </c>
      <c r="U10" s="39"/>
      <c r="V10" s="39"/>
    </row>
    <row r="11" spans="1:22" ht="27.75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273">
        <f>SUM(D11:S11)</f>
        <v>0</v>
      </c>
      <c r="U11" s="39"/>
      <c r="V11" s="39"/>
    </row>
    <row r="12" spans="1:22" ht="27.75" customHeight="1">
      <c r="A12" s="86"/>
      <c r="B12" s="369" t="s">
        <v>28</v>
      </c>
      <c r="C12" s="88"/>
      <c r="D12" s="120">
        <f t="shared" ref="D12:S12" si="0">SUM(D8:D11)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273">
        <f>SUM(D12:S12)</f>
        <v>0</v>
      </c>
      <c r="U12" s="39"/>
      <c r="V12" s="39"/>
    </row>
    <row r="13" spans="1:22" ht="27.75" customHeight="1">
      <c r="B13" s="11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9"/>
      <c r="V13" s="39"/>
    </row>
    <row r="14" spans="1:22" ht="27.75" customHeight="1">
      <c r="A14" s="39"/>
      <c r="B14" s="528"/>
      <c r="C14" s="417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</row>
    <row r="15" spans="1:22" ht="27.75" customHeight="1">
      <c r="B15" s="114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9"/>
      <c r="V15" s="39"/>
    </row>
    <row r="16" spans="1:22" ht="27.75" customHeight="1">
      <c r="B16" s="114"/>
      <c r="U16" s="39"/>
      <c r="V16" s="39"/>
    </row>
    <row r="17" spans="21:22" ht="27.75" customHeight="1">
      <c r="U17" s="39"/>
      <c r="V17" s="39"/>
    </row>
    <row r="18" spans="21:22" ht="27.75" customHeight="1">
      <c r="U18" s="39"/>
      <c r="V18" s="39"/>
    </row>
    <row r="19" spans="21:22" ht="27.75" customHeight="1">
      <c r="U19" s="39"/>
      <c r="V19" s="39"/>
    </row>
    <row r="20" spans="21:22" ht="27.75" customHeight="1">
      <c r="U20" s="39"/>
      <c r="V20" s="39"/>
    </row>
    <row r="21" spans="21:22" ht="27.75" customHeight="1">
      <c r="U21" s="39"/>
      <c r="V21" s="39"/>
    </row>
    <row r="22" spans="21:22" ht="27.75" customHeight="1">
      <c r="U22" s="39"/>
      <c r="V22" s="39"/>
    </row>
    <row r="23" spans="21:22" ht="27.75" customHeight="1">
      <c r="U23" s="39"/>
      <c r="V23" s="39"/>
    </row>
    <row r="24" spans="21:22" ht="27.75" customHeight="1">
      <c r="U24" s="39"/>
      <c r="V24" s="39"/>
    </row>
    <row r="25" spans="21:22" ht="27.75" customHeight="1">
      <c r="U25" s="39"/>
      <c r="V25" s="39"/>
    </row>
    <row r="26" spans="21:22" ht="27.75" customHeight="1">
      <c r="U26" s="39"/>
      <c r="V26" s="39"/>
    </row>
    <row r="27" spans="21:22">
      <c r="U27" s="39"/>
      <c r="V27" s="39"/>
    </row>
    <row r="28" spans="21:22">
      <c r="U28" s="39"/>
      <c r="V28" s="39"/>
    </row>
    <row r="29" spans="21:22">
      <c r="U29" s="39"/>
      <c r="V29" s="39"/>
    </row>
    <row r="30" spans="21:22">
      <c r="U30" s="39"/>
      <c r="V30" s="39"/>
    </row>
    <row r="31" spans="21:22">
      <c r="U31" s="39"/>
      <c r="V31" s="39"/>
    </row>
  </sheetData>
  <phoneticPr fontId="10" type="noConversion"/>
  <dataValidations count="1">
    <dataValidation type="list" allowBlank="1" showInputMessage="1" showErrorMessage="1" sqref="A11 B8:B9" xr:uid="{8403FC73-901F-460E-BECF-EBFF645E90E0}">
      <formula1>$V$7:$V$9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C4FD-A898-47D8-97C0-C80F7E6CE92C}">
  <sheetPr>
    <tabColor theme="0"/>
  </sheetPr>
  <dimension ref="A1:V31"/>
  <sheetViews>
    <sheetView zoomScale="90" zoomScaleNormal="90" workbookViewId="0">
      <pane xSplit="2" ySplit="6" topLeftCell="E7" activePane="bottomRight" state="frozen"/>
      <selection pane="topRight" activeCell="E1" sqref="E1"/>
      <selection pane="bottomLeft" activeCell="A7" sqref="A7"/>
      <selection pane="bottomRight" activeCell="E1" sqref="E1:G3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15" bestFit="1" customWidth="1"/>
    <col min="22" max="22" width="12" style="15" bestFit="1" customWidth="1"/>
    <col min="23" max="16384" width="8" style="15"/>
  </cols>
  <sheetData>
    <row r="1" spans="1:22" ht="10.15" customHeight="1">
      <c r="B1" s="112" t="s">
        <v>106</v>
      </c>
      <c r="C1" s="12" t="s">
        <v>166</v>
      </c>
      <c r="D1" s="150"/>
      <c r="E1" s="153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9"/>
      <c r="V1" s="39"/>
    </row>
    <row r="2" spans="1:22" ht="12" customHeight="1">
      <c r="B2" s="112" t="s">
        <v>109</v>
      </c>
      <c r="C2" s="18" t="s">
        <v>262</v>
      </c>
      <c r="D2" s="150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39"/>
      <c r="V2" s="39"/>
    </row>
    <row r="3" spans="1:22" ht="10.15" customHeight="1">
      <c r="B3" s="112" t="s">
        <v>111</v>
      </c>
      <c r="C3" s="18"/>
      <c r="D3" s="150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9"/>
      <c r="V3" s="39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9"/>
      <c r="V4" s="39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  <c r="U5" s="39"/>
      <c r="V5" s="39"/>
    </row>
    <row r="6" spans="1:22" ht="12.75">
      <c r="A6" s="349" t="s">
        <v>238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  <c r="U6" s="39"/>
      <c r="V6" s="39"/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39"/>
      <c r="V7" s="39"/>
    </row>
    <row r="8" spans="1:22" ht="27.75" customHeight="1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273"/>
      <c r="T8" s="273">
        <f>SUM(D8:S8)</f>
        <v>0</v>
      </c>
      <c r="U8" s="39"/>
      <c r="V8" s="39"/>
    </row>
    <row r="9" spans="1:22" ht="27.75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>SUM(D9:S9)</f>
        <v>0</v>
      </c>
      <c r="U9" s="39"/>
      <c r="V9" s="39"/>
    </row>
    <row r="10" spans="1:22" ht="27.75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273">
        <f>SUM(D10:S10)</f>
        <v>0</v>
      </c>
      <c r="U10" s="39"/>
      <c r="V10" s="39"/>
    </row>
    <row r="11" spans="1:22" ht="27.75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273">
        <f>SUM(D11:S11)</f>
        <v>0</v>
      </c>
      <c r="U11" s="39"/>
      <c r="V11" s="39"/>
    </row>
    <row r="12" spans="1:22" ht="27.75" customHeight="1">
      <c r="A12" s="86"/>
      <c r="B12" s="369" t="s">
        <v>28</v>
      </c>
      <c r="C12" s="88"/>
      <c r="D12" s="120">
        <f t="shared" ref="D12:S12" si="0">SUM(D8:D11)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273">
        <f>SUM(D12:S12)</f>
        <v>0</v>
      </c>
      <c r="U12" s="39"/>
      <c r="V12" s="39"/>
    </row>
    <row r="13" spans="1:22" ht="27.75" customHeight="1">
      <c r="B13" s="11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9"/>
      <c r="V13" s="39"/>
    </row>
    <row r="14" spans="1:22" ht="27.75" customHeight="1">
      <c r="A14" s="39"/>
      <c r="B14" s="528"/>
      <c r="C14" s="417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</row>
    <row r="15" spans="1:22" ht="27.75" customHeight="1">
      <c r="B15" s="114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9"/>
      <c r="V15" s="39"/>
    </row>
    <row r="16" spans="1:22">
      <c r="B16" s="114"/>
      <c r="U16" s="39"/>
      <c r="V16" s="39"/>
    </row>
    <row r="17" spans="1:22">
      <c r="U17" s="39"/>
      <c r="V17" s="39"/>
    </row>
    <row r="18" spans="1:22" s="39" customFormat="1">
      <c r="A18" s="15"/>
      <c r="B18" s="1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2">
      <c r="U19" s="39"/>
      <c r="V19" s="39"/>
    </row>
    <row r="20" spans="1:22">
      <c r="U20" s="39"/>
      <c r="V20" s="39"/>
    </row>
    <row r="21" spans="1:22">
      <c r="U21" s="39"/>
      <c r="V21" s="39"/>
    </row>
    <row r="22" spans="1:22">
      <c r="U22" s="39"/>
      <c r="V22" s="39"/>
    </row>
    <row r="23" spans="1:22">
      <c r="U23" s="39"/>
      <c r="V23" s="39"/>
    </row>
    <row r="24" spans="1:22">
      <c r="U24" s="39"/>
      <c r="V24" s="39"/>
    </row>
    <row r="25" spans="1:22">
      <c r="U25" s="39"/>
      <c r="V25" s="39"/>
    </row>
    <row r="26" spans="1:22">
      <c r="U26" s="39"/>
      <c r="V26" s="39"/>
    </row>
    <row r="27" spans="1:22">
      <c r="U27" s="39"/>
      <c r="V27" s="39"/>
    </row>
    <row r="28" spans="1:22">
      <c r="U28" s="39"/>
      <c r="V28" s="39"/>
    </row>
    <row r="29" spans="1:22">
      <c r="U29" s="39"/>
      <c r="V29" s="39"/>
    </row>
    <row r="30" spans="1:22">
      <c r="U30" s="39"/>
      <c r="V30" s="39"/>
    </row>
    <row r="31" spans="1:22">
      <c r="U31" s="39"/>
      <c r="V31" s="39"/>
    </row>
  </sheetData>
  <phoneticPr fontId="10" type="noConversion"/>
  <dataValidations count="1">
    <dataValidation type="list" allowBlank="1" showInputMessage="1" showErrorMessage="1" sqref="A11 B8:B9" xr:uid="{E8C903D7-A6A4-4BB9-9027-45DADF3D4E04}">
      <formula1>$V$7:$V$9</formula1>
    </dataValidation>
  </dataValidation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3503-FE90-4C08-A11F-5DD2520B8FAF}">
  <sheetPr>
    <tabColor theme="0"/>
  </sheetPr>
  <dimension ref="A1:V16"/>
  <sheetViews>
    <sheetView zoomScale="90" zoomScaleNormal="90" workbookViewId="0">
      <pane xSplit="2" ySplit="6" topLeftCell="D7" activePane="bottomRight" state="frozen"/>
      <selection pane="topRight" activeCell="E1" sqref="E1"/>
      <selection pane="bottomLeft" activeCell="A7" sqref="A7"/>
      <selection pane="bottomRight" activeCell="D5" sqref="D5"/>
    </sheetView>
  </sheetViews>
  <sheetFormatPr defaultColWidth="8" defaultRowHeight="11.25"/>
  <cols>
    <col min="1" max="1" width="27.42578125" style="15" customWidth="1"/>
    <col min="2" max="2" width="26.5703125" style="115" customWidth="1"/>
    <col min="3" max="3" width="12.5703125" style="15" customWidth="1"/>
    <col min="4" max="20" width="13.7109375" style="15" customWidth="1"/>
    <col min="21" max="21" width="8" style="39" bestFit="1" customWidth="1"/>
    <col min="22" max="22" width="12" style="39" bestFit="1" customWidth="1"/>
    <col min="23" max="16384" width="8" style="39"/>
  </cols>
  <sheetData>
    <row r="1" spans="1:22" ht="10.15" customHeight="1">
      <c r="B1" s="112" t="s">
        <v>106</v>
      </c>
      <c r="C1" s="12" t="s">
        <v>166</v>
      </c>
      <c r="D1" s="523"/>
      <c r="E1" s="585"/>
      <c r="F1" s="14" t="s">
        <v>108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2" ht="12" customHeight="1">
      <c r="B2" s="112" t="s">
        <v>109</v>
      </c>
      <c r="C2" s="18" t="s">
        <v>263</v>
      </c>
      <c r="D2" s="514"/>
      <c r="E2" s="151"/>
      <c r="F2" s="14" t="s">
        <v>233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2" ht="10.15" customHeight="1">
      <c r="B3" s="112" t="s">
        <v>111</v>
      </c>
      <c r="C3" s="18"/>
      <c r="D3" s="514"/>
      <c r="E3" s="152"/>
      <c r="F3" s="14" t="s">
        <v>112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2">
      <c r="B4" s="112" t="s">
        <v>113</v>
      </c>
      <c r="C4" s="522">
        <v>45947</v>
      </c>
      <c r="D4" s="20" t="s">
        <v>114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2" ht="12.75"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</row>
    <row r="6" spans="1:22" ht="12.75">
      <c r="A6" s="349" t="s">
        <v>116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483" t="s">
        <v>28</v>
      </c>
    </row>
    <row r="7" spans="1:22" ht="12.75">
      <c r="A7" s="117"/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</row>
    <row r="8" spans="1:22" ht="27.75" customHeight="1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273"/>
      <c r="T8" s="273">
        <f>SUM(D8:S8)</f>
        <v>0</v>
      </c>
    </row>
    <row r="9" spans="1:22" ht="27.75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273">
        <f>SUM(D9:S9)</f>
        <v>0</v>
      </c>
    </row>
    <row r="10" spans="1:22" ht="27.75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273">
        <f>SUM(D10:S10)</f>
        <v>0</v>
      </c>
    </row>
    <row r="11" spans="1:22" ht="27.75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273">
        <f>SUM(D11:S11)</f>
        <v>0</v>
      </c>
    </row>
    <row r="12" spans="1:22" ht="15">
      <c r="A12" s="86"/>
      <c r="B12" s="369" t="s">
        <v>28</v>
      </c>
      <c r="C12" s="88"/>
      <c r="D12" s="120">
        <f t="shared" ref="D12:S12" si="0">SUM(D8:D11)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273">
        <f>SUM(D12:S12)</f>
        <v>0</v>
      </c>
    </row>
    <row r="13" spans="1:22">
      <c r="B13" s="11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2" ht="12.75">
      <c r="A14" s="39"/>
      <c r="B14" s="528"/>
      <c r="C14" s="417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15"/>
      <c r="V14" s="15"/>
    </row>
    <row r="15" spans="1:22">
      <c r="B15" s="114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spans="1:22">
      <c r="B16" s="114"/>
    </row>
  </sheetData>
  <phoneticPr fontId="10" type="noConversion"/>
  <dataValidations count="1">
    <dataValidation type="list" allowBlank="1" showInputMessage="1" showErrorMessage="1" sqref="A11 B8:B9" xr:uid="{5BC1E937-CD17-485C-BC8B-D09CA2286A11}">
      <formula1>$V$7:$V$9</formula1>
    </dataValidation>
  </dataValidation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FC0E-D80B-4915-8876-178AF010B7B9}">
  <sheetPr codeName="Sheet12"/>
  <dimension ref="A1:FT31"/>
  <sheetViews>
    <sheetView tabSelected="1" zoomScale="90" zoomScaleNormal="90" workbookViewId="0">
      <pane xSplit="7" topLeftCell="I1" activePane="topRight" state="frozen"/>
      <selection pane="topRight" activeCell="I5" sqref="I5"/>
    </sheetView>
  </sheetViews>
  <sheetFormatPr defaultColWidth="8" defaultRowHeight="11.25"/>
  <cols>
    <col min="1" max="1" width="25.5703125" style="15" customWidth="1"/>
    <col min="2" max="2" width="7.140625" style="15" customWidth="1"/>
    <col min="3" max="3" width="13.85546875" style="15" customWidth="1"/>
    <col min="4" max="4" width="12.42578125" style="15" customWidth="1"/>
    <col min="5" max="5" width="12.5703125" style="15" customWidth="1"/>
    <col min="6" max="6" width="22.85546875" style="10" bestFit="1" customWidth="1"/>
    <col min="7" max="7" width="13.28515625" style="40" customWidth="1"/>
    <col min="8" max="8" width="16" style="15" customWidth="1"/>
    <col min="9" max="25" width="13.7109375" style="15" customWidth="1"/>
    <col min="26" max="102" width="13.7109375" style="39" customWidth="1"/>
    <col min="103" max="103" width="13.7109375" style="577" customWidth="1"/>
    <col min="104" max="104" width="9.7109375" style="39" bestFit="1" customWidth="1"/>
    <col min="105" max="105" width="12" style="39" bestFit="1" customWidth="1"/>
    <col min="106" max="16384" width="8" style="39"/>
  </cols>
  <sheetData>
    <row r="1" spans="1:176" ht="10.15" customHeight="1">
      <c r="A1" s="42"/>
      <c r="B1" s="42"/>
      <c r="C1" s="42"/>
      <c r="D1" s="42"/>
      <c r="E1" s="42"/>
      <c r="F1" s="42"/>
      <c r="G1" s="11" t="s">
        <v>106</v>
      </c>
      <c r="H1" s="12" t="s">
        <v>166</v>
      </c>
      <c r="J1" s="150"/>
      <c r="K1" s="14" t="s">
        <v>108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575"/>
      <c r="AO1" s="575"/>
      <c r="AP1" s="575"/>
      <c r="AQ1" s="575"/>
      <c r="AR1" s="575"/>
      <c r="AS1" s="575"/>
      <c r="AT1" s="575"/>
      <c r="AU1" s="575"/>
      <c r="AV1" s="575"/>
      <c r="AW1" s="575"/>
      <c r="AX1" s="575"/>
      <c r="AY1" s="575"/>
      <c r="AZ1" s="575"/>
      <c r="BA1" s="575"/>
      <c r="BB1" s="575"/>
      <c r="BC1" s="575"/>
      <c r="BD1" s="575"/>
      <c r="BE1" s="575"/>
      <c r="BF1" s="575"/>
      <c r="BG1" s="575"/>
      <c r="BH1" s="575"/>
      <c r="BI1" s="575"/>
      <c r="BJ1" s="575"/>
      <c r="BK1" s="575"/>
      <c r="BL1" s="575"/>
      <c r="BM1" s="575"/>
      <c r="BN1" s="575"/>
      <c r="BO1" s="575"/>
      <c r="BP1" s="575"/>
      <c r="BQ1" s="575"/>
      <c r="BR1" s="575"/>
      <c r="BS1" s="575"/>
      <c r="BT1" s="575"/>
      <c r="BU1" s="575"/>
      <c r="BV1" s="575"/>
      <c r="BW1" s="575"/>
      <c r="BX1" s="575"/>
      <c r="BY1" s="575"/>
      <c r="BZ1" s="575"/>
      <c r="CA1" s="575"/>
      <c r="CB1" s="575"/>
      <c r="CC1" s="575"/>
      <c r="CD1" s="575"/>
      <c r="CE1" s="575"/>
      <c r="CF1" s="575"/>
      <c r="CG1" s="575"/>
      <c r="CH1" s="575"/>
      <c r="CI1" s="575"/>
      <c r="CJ1" s="575"/>
      <c r="CK1" s="575"/>
      <c r="CL1" s="575"/>
      <c r="CM1" s="575"/>
      <c r="CN1" s="575"/>
      <c r="CO1" s="575"/>
      <c r="CP1" s="575"/>
      <c r="CQ1" s="575"/>
      <c r="CR1" s="575"/>
      <c r="CS1" s="575"/>
      <c r="CT1" s="575"/>
      <c r="CU1" s="575"/>
      <c r="CV1" s="575"/>
      <c r="CW1" s="575"/>
      <c r="CX1" s="575"/>
      <c r="CY1" s="576"/>
    </row>
    <row r="2" spans="1:176" ht="12" customHeight="1">
      <c r="A2"/>
      <c r="B2"/>
      <c r="C2"/>
      <c r="D2" s="43"/>
      <c r="E2" s="44"/>
      <c r="F2" s="43"/>
      <c r="G2" s="11" t="s">
        <v>109</v>
      </c>
      <c r="H2" s="18" t="s">
        <v>264</v>
      </c>
      <c r="J2" s="151"/>
      <c r="K2" s="14" t="s">
        <v>230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575"/>
      <c r="AA2" s="575"/>
      <c r="AB2" s="575"/>
      <c r="AC2" s="575"/>
      <c r="AD2" s="575"/>
      <c r="AE2" s="575"/>
      <c r="AF2" s="575"/>
      <c r="AG2" s="575"/>
      <c r="AH2" s="575"/>
      <c r="AI2" s="575"/>
      <c r="AJ2" s="575"/>
      <c r="AK2" s="575"/>
      <c r="AL2" s="575"/>
      <c r="AM2" s="575"/>
      <c r="AN2" s="575"/>
      <c r="AO2" s="575"/>
      <c r="AP2" s="575"/>
      <c r="AQ2" s="575"/>
      <c r="AR2" s="575"/>
      <c r="AS2" s="575"/>
      <c r="AT2" s="575"/>
      <c r="AU2" s="575"/>
      <c r="AV2" s="575"/>
      <c r="AW2" s="575"/>
      <c r="AX2" s="575"/>
      <c r="AY2" s="575"/>
      <c r="AZ2" s="575"/>
      <c r="BA2" s="575"/>
      <c r="BB2" s="575"/>
      <c r="BC2" s="575"/>
      <c r="BD2" s="575"/>
      <c r="BE2" s="575"/>
      <c r="BF2" s="575"/>
      <c r="BG2" s="575"/>
      <c r="BH2" s="575"/>
      <c r="BI2" s="575"/>
      <c r="BJ2" s="575"/>
      <c r="BK2" s="575"/>
      <c r="BL2" s="575"/>
      <c r="BM2" s="575"/>
      <c r="BN2" s="575"/>
      <c r="BO2" s="575"/>
      <c r="BP2" s="575"/>
      <c r="BQ2" s="575"/>
      <c r="BR2" s="575"/>
      <c r="BS2" s="575"/>
      <c r="BT2" s="575"/>
      <c r="BU2" s="575"/>
      <c r="BV2" s="575"/>
      <c r="BW2" s="575"/>
      <c r="BX2" s="575"/>
      <c r="BY2" s="575"/>
      <c r="BZ2" s="575"/>
      <c r="CA2" s="575"/>
      <c r="CB2" s="575"/>
      <c r="CC2" s="575"/>
      <c r="CD2" s="575"/>
      <c r="CE2" s="575"/>
      <c r="CF2" s="575"/>
      <c r="CG2" s="575"/>
      <c r="CH2" s="575"/>
      <c r="CI2" s="575"/>
      <c r="CJ2" s="575"/>
      <c r="CK2" s="575"/>
      <c r="CL2" s="575"/>
      <c r="CM2" s="575"/>
      <c r="CN2" s="575"/>
      <c r="CO2" s="575"/>
      <c r="CP2" s="575"/>
      <c r="CQ2" s="575"/>
      <c r="CR2" s="575"/>
      <c r="CS2" s="575"/>
      <c r="CT2" s="575"/>
      <c r="CU2" s="575"/>
      <c r="CV2" s="575"/>
      <c r="CW2" s="575"/>
      <c r="CX2" s="575"/>
      <c r="CY2" s="576"/>
    </row>
    <row r="3" spans="1:176" ht="10.15" customHeight="1">
      <c r="A3"/>
      <c r="B3"/>
      <c r="C3"/>
      <c r="D3" s="43"/>
      <c r="E3" s="44"/>
      <c r="F3" s="43"/>
      <c r="G3" s="11" t="s">
        <v>111</v>
      </c>
      <c r="H3" s="18"/>
      <c r="J3" s="152"/>
      <c r="K3" s="14" t="s">
        <v>112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575"/>
      <c r="AA3" s="575"/>
      <c r="AB3" s="575"/>
      <c r="AC3" s="575"/>
      <c r="AD3" s="575"/>
      <c r="AE3" s="575"/>
      <c r="AF3" s="575"/>
      <c r="AG3" s="575"/>
      <c r="AH3" s="575"/>
      <c r="AI3" s="575"/>
      <c r="AJ3" s="575"/>
      <c r="AK3" s="575"/>
      <c r="AL3" s="575"/>
      <c r="AM3" s="575"/>
      <c r="AN3" s="575"/>
      <c r="AO3" s="575"/>
      <c r="AP3" s="575"/>
      <c r="AQ3" s="575"/>
      <c r="AR3" s="575"/>
      <c r="AS3" s="575"/>
      <c r="AT3" s="575"/>
      <c r="AU3" s="575"/>
      <c r="AV3" s="575"/>
      <c r="AW3" s="575"/>
      <c r="AX3" s="575"/>
      <c r="AY3" s="575"/>
      <c r="AZ3" s="575"/>
      <c r="BA3" s="575"/>
      <c r="BB3" s="575"/>
      <c r="BC3" s="575"/>
      <c r="BD3" s="575"/>
      <c r="BE3" s="575"/>
      <c r="BF3" s="575"/>
      <c r="BG3" s="575"/>
      <c r="BH3" s="575"/>
      <c r="BI3" s="575"/>
      <c r="BJ3" s="575"/>
      <c r="BK3" s="575"/>
      <c r="BL3" s="575"/>
      <c r="BM3" s="575"/>
      <c r="BN3" s="575"/>
      <c r="BO3" s="575"/>
      <c r="BP3" s="575"/>
      <c r="BQ3" s="575"/>
      <c r="BR3" s="575"/>
      <c r="BS3" s="575"/>
      <c r="BT3" s="575"/>
      <c r="BU3" s="575"/>
      <c r="BV3" s="575"/>
      <c r="BW3" s="575"/>
      <c r="BX3" s="575"/>
      <c r="BY3" s="575"/>
      <c r="BZ3" s="575"/>
      <c r="CA3" s="575"/>
      <c r="CB3" s="575"/>
      <c r="CC3" s="575"/>
      <c r="CD3" s="575"/>
      <c r="CE3" s="575"/>
      <c r="CF3" s="575"/>
      <c r="CG3" s="575"/>
      <c r="CH3" s="575"/>
      <c r="CI3" s="575"/>
      <c r="CJ3" s="575"/>
      <c r="CK3" s="575"/>
      <c r="CL3" s="575"/>
      <c r="CM3" s="575"/>
      <c r="CN3" s="575"/>
      <c r="CO3" s="575"/>
      <c r="CP3" s="575"/>
      <c r="CQ3" s="575"/>
      <c r="CR3" s="575"/>
      <c r="CS3" s="575"/>
      <c r="CT3" s="575"/>
      <c r="CU3" s="575"/>
      <c r="CV3" s="575"/>
      <c r="CW3" s="575"/>
      <c r="CX3" s="575"/>
    </row>
    <row r="4" spans="1:176" ht="15">
      <c r="A4"/>
      <c r="B4"/>
      <c r="C4"/>
      <c r="D4" s="43"/>
      <c r="E4" s="44"/>
      <c r="F4" s="43"/>
      <c r="G4" s="11" t="s">
        <v>113</v>
      </c>
      <c r="H4" s="175">
        <f>'OUT - HR - Pemberian Pinjaman'!C4</f>
        <v>0</v>
      </c>
      <c r="I4" s="20" t="s">
        <v>114</v>
      </c>
      <c r="J4" s="20" t="s">
        <v>114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578"/>
      <c r="AA4" s="578"/>
      <c r="AB4" s="578"/>
      <c r="AC4" s="578"/>
      <c r="AD4" s="578"/>
      <c r="AE4" s="578"/>
      <c r="AF4" s="578"/>
      <c r="AG4" s="578"/>
      <c r="AH4" s="578"/>
      <c r="AI4" s="578"/>
      <c r="AJ4" s="578"/>
      <c r="AK4" s="578"/>
      <c r="AL4" s="578"/>
      <c r="AM4" s="578"/>
      <c r="AN4" s="578"/>
      <c r="AO4" s="578"/>
      <c r="AP4" s="578"/>
      <c r="AQ4" s="578"/>
      <c r="AR4" s="578"/>
      <c r="AS4" s="578"/>
      <c r="AT4" s="578"/>
      <c r="AU4" s="578"/>
      <c r="AV4" s="578"/>
      <c r="AW4" s="578"/>
      <c r="AX4" s="578"/>
      <c r="AY4" s="578"/>
      <c r="AZ4" s="578"/>
      <c r="BA4" s="578"/>
      <c r="BB4" s="578"/>
      <c r="BC4" s="578"/>
      <c r="BD4" s="578"/>
      <c r="BE4" s="578"/>
      <c r="BF4" s="578"/>
      <c r="BG4" s="578"/>
      <c r="BH4" s="578"/>
      <c r="BI4" s="578"/>
      <c r="BJ4" s="578"/>
      <c r="BK4" s="578"/>
      <c r="BL4" s="578"/>
      <c r="BM4" s="578"/>
      <c r="BN4" s="578"/>
      <c r="BO4" s="578"/>
      <c r="BP4" s="578"/>
      <c r="BQ4" s="578"/>
      <c r="BR4" s="578"/>
      <c r="BS4" s="578"/>
      <c r="BT4" s="578"/>
      <c r="BU4" s="578"/>
      <c r="BV4" s="578"/>
      <c r="BW4" s="578"/>
      <c r="BX4" s="578"/>
      <c r="BY4" s="578"/>
      <c r="BZ4" s="578"/>
      <c r="CA4" s="578"/>
      <c r="CB4" s="578"/>
      <c r="CC4" s="578"/>
      <c r="CD4" s="578"/>
      <c r="CE4" s="578"/>
      <c r="CF4" s="578"/>
      <c r="CG4" s="578"/>
      <c r="CH4" s="578"/>
      <c r="CI4" s="578"/>
      <c r="CJ4" s="578"/>
      <c r="CK4" s="578"/>
      <c r="CL4" s="578"/>
      <c r="CM4" s="578"/>
      <c r="CN4" s="578"/>
      <c r="CO4" s="578"/>
      <c r="CP4" s="578"/>
      <c r="CQ4" s="578"/>
      <c r="CR4" s="578"/>
      <c r="CS4" s="578"/>
      <c r="CT4" s="578"/>
      <c r="CU4" s="578"/>
      <c r="CV4" s="578"/>
      <c r="CW4" s="578"/>
      <c r="CX4" s="578"/>
    </row>
    <row r="5" spans="1:176" ht="15">
      <c r="A5"/>
      <c r="B5"/>
      <c r="C5"/>
      <c r="D5" s="43"/>
      <c r="E5" s="44"/>
      <c r="F5" s="43"/>
      <c r="G5" s="15"/>
      <c r="I5" s="496" t="s">
        <v>8</v>
      </c>
      <c r="J5" s="350" t="s">
        <v>9</v>
      </c>
      <c r="K5" s="350" t="s">
        <v>10</v>
      </c>
      <c r="L5" s="295" t="s">
        <v>11</v>
      </c>
      <c r="M5" s="353" t="s">
        <v>12</v>
      </c>
      <c r="N5" s="295" t="s">
        <v>13</v>
      </c>
      <c r="O5" s="353" t="s">
        <v>14</v>
      </c>
      <c r="P5" s="496" t="s">
        <v>8</v>
      </c>
      <c r="Q5" s="350" t="s">
        <v>9</v>
      </c>
      <c r="R5" s="350" t="s">
        <v>10</v>
      </c>
      <c r="S5" s="295" t="s">
        <v>11</v>
      </c>
      <c r="T5" s="353" t="s">
        <v>12</v>
      </c>
      <c r="U5" s="295" t="s">
        <v>13</v>
      </c>
      <c r="V5" s="353" t="s">
        <v>14</v>
      </c>
      <c r="W5" s="496" t="s">
        <v>8</v>
      </c>
      <c r="X5" s="350" t="s">
        <v>9</v>
      </c>
      <c r="Y5" s="1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  <c r="AK5" s="496"/>
      <c r="AL5" s="496"/>
      <c r="AM5" s="496"/>
      <c r="AN5" s="496"/>
      <c r="AO5" s="496"/>
      <c r="AP5" s="496"/>
      <c r="AQ5" s="496"/>
      <c r="AR5" s="496"/>
      <c r="AS5" s="496"/>
      <c r="AT5" s="496"/>
      <c r="AU5" s="496"/>
      <c r="AV5" s="496"/>
      <c r="AW5" s="496"/>
      <c r="AX5" s="496"/>
      <c r="AY5" s="496"/>
      <c r="AZ5" s="496"/>
      <c r="BA5" s="496"/>
      <c r="BB5" s="496"/>
      <c r="BC5" s="496"/>
      <c r="BD5" s="496"/>
      <c r="BE5" s="496"/>
      <c r="BF5" s="496"/>
      <c r="BG5" s="496"/>
      <c r="BH5" s="496"/>
      <c r="BI5" s="496"/>
      <c r="BJ5" s="496"/>
      <c r="BK5" s="496"/>
      <c r="BL5" s="496"/>
      <c r="BM5" s="496"/>
      <c r="BN5" s="496"/>
      <c r="BO5" s="496"/>
      <c r="BP5" s="496"/>
      <c r="BQ5" s="496"/>
      <c r="BR5" s="496"/>
      <c r="BS5" s="496"/>
      <c r="BT5" s="496"/>
      <c r="BU5" s="496"/>
      <c r="BV5" s="496"/>
      <c r="BW5" s="496"/>
      <c r="BX5" s="496"/>
      <c r="BY5" s="496"/>
      <c r="BZ5" s="496"/>
      <c r="CA5" s="496"/>
      <c r="CB5" s="496"/>
      <c r="CC5" s="496"/>
      <c r="CD5" s="496"/>
      <c r="CE5" s="496"/>
      <c r="CF5" s="496"/>
      <c r="CG5" s="496"/>
      <c r="CH5" s="496"/>
      <c r="CI5" s="496"/>
      <c r="CJ5" s="496"/>
      <c r="CK5" s="496"/>
      <c r="CL5" s="496"/>
      <c r="CM5" s="496"/>
      <c r="CN5" s="496"/>
      <c r="CO5" s="496"/>
      <c r="CP5" s="496"/>
      <c r="CQ5" s="496"/>
      <c r="CR5" s="496"/>
      <c r="CS5" s="496"/>
      <c r="CT5" s="496"/>
      <c r="CU5" s="496"/>
      <c r="CV5" s="496"/>
      <c r="CW5" s="496"/>
      <c r="CX5" s="496"/>
      <c r="CY5" s="496"/>
      <c r="CZ5" s="496"/>
      <c r="DA5" s="496"/>
      <c r="DB5" s="496"/>
      <c r="DC5" s="496"/>
      <c r="DD5" s="496"/>
      <c r="DE5" s="496"/>
      <c r="DF5" s="496"/>
      <c r="DG5" s="496"/>
      <c r="DH5" s="496"/>
      <c r="DI5" s="496"/>
      <c r="DJ5" s="496"/>
      <c r="DK5" s="496"/>
      <c r="DL5" s="496"/>
      <c r="DM5" s="496"/>
      <c r="DN5" s="496"/>
      <c r="DO5" s="496"/>
      <c r="DP5" s="496"/>
      <c r="DQ5" s="496"/>
      <c r="DR5" s="496"/>
      <c r="DS5" s="496"/>
      <c r="DT5" s="496"/>
      <c r="DU5" s="496"/>
      <c r="DV5" s="496"/>
      <c r="DW5" s="496"/>
      <c r="DX5" s="496"/>
      <c r="DY5" s="496"/>
      <c r="DZ5" s="496"/>
      <c r="EA5" s="496"/>
      <c r="EB5" s="496"/>
      <c r="EC5" s="496"/>
      <c r="ED5" s="496"/>
      <c r="EE5" s="496"/>
      <c r="EF5" s="496"/>
      <c r="EG5" s="496"/>
      <c r="EH5" s="496"/>
      <c r="EI5" s="496"/>
      <c r="EJ5" s="496"/>
      <c r="EK5" s="496"/>
      <c r="EL5" s="496"/>
      <c r="EM5" s="496"/>
      <c r="EN5" s="496"/>
      <c r="EO5" s="496"/>
      <c r="EP5" s="496"/>
      <c r="EQ5" s="496"/>
      <c r="ER5" s="496"/>
      <c r="ES5" s="496"/>
      <c r="ET5" s="496"/>
      <c r="EU5" s="496"/>
      <c r="EV5" s="496"/>
      <c r="EW5" s="496"/>
      <c r="EX5" s="496"/>
      <c r="EY5" s="496"/>
      <c r="EZ5" s="496"/>
      <c r="FA5" s="496"/>
      <c r="FB5" s="496"/>
      <c r="FC5" s="496"/>
      <c r="FD5" s="496"/>
      <c r="FE5" s="496"/>
      <c r="FF5" s="496"/>
      <c r="FG5" s="496"/>
      <c r="FH5" s="496"/>
      <c r="FI5" s="496"/>
      <c r="FJ5" s="496"/>
      <c r="FK5" s="496"/>
      <c r="FL5" s="496"/>
      <c r="FM5" s="496"/>
      <c r="FN5" s="496"/>
      <c r="FO5" s="496"/>
      <c r="FP5" s="496"/>
      <c r="FQ5" s="496"/>
      <c r="FR5" s="496"/>
      <c r="FS5" s="496"/>
    </row>
    <row r="6" spans="1:176" ht="22.5">
      <c r="A6" s="442" t="s">
        <v>265</v>
      </c>
      <c r="B6" s="442" t="s">
        <v>266</v>
      </c>
      <c r="C6" s="442" t="s">
        <v>267</v>
      </c>
      <c r="D6" s="442" t="s">
        <v>268</v>
      </c>
      <c r="E6" s="442" t="s">
        <v>269</v>
      </c>
      <c r="F6" s="442" t="s">
        <v>270</v>
      </c>
      <c r="G6" s="45" t="s">
        <v>271</v>
      </c>
      <c r="H6" s="4" t="s">
        <v>118</v>
      </c>
      <c r="I6" s="302">
        <v>45947</v>
      </c>
      <c r="J6" s="302">
        <v>45948</v>
      </c>
      <c r="K6" s="302">
        <v>45949</v>
      </c>
      <c r="L6" s="302">
        <v>45950</v>
      </c>
      <c r="M6" s="302">
        <v>45951</v>
      </c>
      <c r="N6" s="302">
        <v>45952</v>
      </c>
      <c r="O6" s="302">
        <v>45953</v>
      </c>
      <c r="P6" s="302">
        <v>45954</v>
      </c>
      <c r="Q6" s="302">
        <v>45955</v>
      </c>
      <c r="R6" s="302">
        <v>45956</v>
      </c>
      <c r="S6" s="302">
        <v>45957</v>
      </c>
      <c r="T6" s="302">
        <v>45958</v>
      </c>
      <c r="U6" s="302">
        <v>45959</v>
      </c>
      <c r="V6" s="302">
        <v>45960</v>
      </c>
      <c r="W6" s="302">
        <v>45961</v>
      </c>
      <c r="X6" s="302">
        <v>45962</v>
      </c>
      <c r="Y6" s="583" t="s">
        <v>28</v>
      </c>
      <c r="Z6" s="492"/>
      <c r="AA6" s="514"/>
      <c r="AB6" s="492"/>
      <c r="AC6" s="492"/>
      <c r="AD6" s="514"/>
      <c r="AE6" s="492"/>
      <c r="AF6" s="514"/>
      <c r="AG6" s="492"/>
      <c r="AH6" s="514"/>
      <c r="AI6" s="492"/>
      <c r="AJ6" s="492"/>
      <c r="AK6" s="514"/>
      <c r="AL6" s="492"/>
      <c r="AM6" s="514"/>
      <c r="AN6" s="492"/>
      <c r="AO6" s="514"/>
      <c r="AP6" s="492"/>
      <c r="AQ6" s="492"/>
      <c r="AR6" s="514"/>
      <c r="AS6" s="492"/>
      <c r="AT6" s="514"/>
      <c r="AU6" s="492"/>
      <c r="AV6" s="514"/>
      <c r="AW6" s="492"/>
      <c r="AX6" s="492"/>
      <c r="AY6" s="514"/>
      <c r="AZ6" s="492"/>
      <c r="BA6" s="514"/>
      <c r="BB6" s="492"/>
      <c r="BC6" s="514"/>
      <c r="BD6" s="492"/>
      <c r="BE6" s="492"/>
      <c r="BF6" s="514"/>
      <c r="BG6" s="492"/>
      <c r="BH6" s="514"/>
      <c r="BI6" s="492"/>
      <c r="BJ6" s="514"/>
      <c r="BK6" s="492"/>
      <c r="BL6" s="492"/>
      <c r="BM6" s="514"/>
      <c r="BN6" s="492"/>
      <c r="BO6" s="514"/>
      <c r="BP6" s="492"/>
      <c r="BQ6" s="514"/>
      <c r="BR6" s="492"/>
      <c r="BS6" s="492"/>
      <c r="BT6" s="514"/>
      <c r="BU6" s="492"/>
      <c r="BV6" s="514"/>
      <c r="BW6" s="492"/>
      <c r="BX6" s="514"/>
      <c r="BY6" s="492"/>
      <c r="BZ6" s="492"/>
      <c r="CA6" s="514"/>
      <c r="CB6" s="492"/>
      <c r="CC6" s="514"/>
      <c r="CD6" s="492"/>
      <c r="CE6" s="514"/>
      <c r="CF6" s="492"/>
      <c r="CG6" s="492"/>
      <c r="CH6" s="514"/>
      <c r="CI6" s="492"/>
      <c r="CJ6" s="514"/>
      <c r="CK6" s="492"/>
      <c r="CL6" s="514"/>
      <c r="CM6" s="492"/>
      <c r="CN6" s="492"/>
      <c r="CO6" s="514"/>
      <c r="CP6" s="492"/>
      <c r="CQ6" s="514"/>
      <c r="CR6" s="492"/>
      <c r="CS6" s="514"/>
      <c r="CT6" s="492"/>
      <c r="CU6" s="492"/>
      <c r="CV6" s="514"/>
      <c r="CW6" s="492"/>
      <c r="CX6" s="514"/>
      <c r="CY6" s="492"/>
      <c r="CZ6" s="514"/>
      <c r="DA6" s="492"/>
      <c r="DB6" s="492"/>
      <c r="DC6" s="514"/>
      <c r="DD6" s="492"/>
      <c r="DE6" s="514"/>
      <c r="DF6" s="492"/>
      <c r="DG6" s="514"/>
      <c r="DH6" s="492"/>
      <c r="DI6" s="492"/>
      <c r="DJ6" s="492"/>
      <c r="DK6" s="492"/>
      <c r="DL6" s="492"/>
      <c r="DM6" s="492"/>
      <c r="DN6" s="492"/>
      <c r="DO6" s="492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2"/>
      <c r="EB6" s="492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2"/>
      <c r="EO6" s="492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2"/>
      <c r="FB6" s="492"/>
      <c r="FC6" s="492"/>
      <c r="FD6" s="492"/>
      <c r="FE6" s="492"/>
      <c r="FF6" s="492"/>
      <c r="FG6" s="492"/>
      <c r="FH6" s="492"/>
      <c r="FI6" s="492"/>
      <c r="FJ6" s="492"/>
      <c r="FK6" s="492"/>
      <c r="FL6" s="492"/>
      <c r="FM6" s="492"/>
      <c r="FN6" s="492"/>
      <c r="FO6" s="492"/>
      <c r="FP6" s="492"/>
      <c r="FQ6" s="492"/>
      <c r="FR6" s="492"/>
      <c r="FS6" s="492"/>
      <c r="FT6" s="579"/>
    </row>
    <row r="7" spans="1:176" ht="19.5" customHeight="1">
      <c r="A7" s="602" t="s">
        <v>272</v>
      </c>
      <c r="B7" s="602"/>
      <c r="C7" s="602"/>
      <c r="D7" s="602"/>
      <c r="E7" s="602"/>
      <c r="F7" s="603"/>
      <c r="G7" s="598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578"/>
      <c r="AA7" s="578"/>
      <c r="AB7" s="578"/>
      <c r="AC7" s="578"/>
      <c r="AD7" s="578"/>
      <c r="AE7" s="578"/>
      <c r="AF7" s="578"/>
      <c r="AG7" s="578"/>
      <c r="AH7" s="578"/>
      <c r="AI7" s="578"/>
      <c r="AJ7" s="578"/>
      <c r="AK7" s="578"/>
      <c r="AL7" s="578"/>
      <c r="AM7" s="578"/>
      <c r="AN7" s="578"/>
      <c r="AO7" s="578"/>
      <c r="AP7" s="578"/>
      <c r="AQ7" s="578"/>
      <c r="AR7" s="578"/>
      <c r="AS7" s="578"/>
      <c r="AT7" s="578"/>
      <c r="AU7" s="578"/>
      <c r="AV7" s="578"/>
      <c r="AW7" s="578"/>
      <c r="AX7" s="578"/>
      <c r="AY7" s="578"/>
      <c r="AZ7" s="578"/>
      <c r="BA7" s="578"/>
      <c r="BB7" s="578"/>
      <c r="BC7" s="578"/>
      <c r="BD7" s="578"/>
      <c r="BE7" s="578"/>
      <c r="BF7" s="578"/>
      <c r="BG7" s="578"/>
      <c r="BH7" s="578"/>
      <c r="BI7" s="578"/>
      <c r="BJ7" s="578"/>
      <c r="BK7" s="578"/>
      <c r="BL7" s="578"/>
      <c r="BM7" s="578"/>
      <c r="BN7" s="578"/>
      <c r="BO7" s="578"/>
      <c r="BP7" s="578"/>
      <c r="BQ7" s="578"/>
      <c r="BR7" s="578"/>
      <c r="BS7" s="578"/>
      <c r="BT7" s="578"/>
      <c r="BU7" s="578"/>
      <c r="BV7" s="578"/>
      <c r="BW7" s="578"/>
      <c r="BX7" s="578"/>
      <c r="BY7" s="578"/>
      <c r="BZ7" s="578"/>
      <c r="CA7" s="578"/>
      <c r="CB7" s="578"/>
      <c r="CC7" s="578"/>
      <c r="CD7" s="578"/>
      <c r="CE7" s="578"/>
      <c r="CF7" s="578"/>
      <c r="CG7" s="578"/>
      <c r="CH7" s="578"/>
      <c r="CI7" s="578"/>
      <c r="CJ7" s="578"/>
      <c r="CK7" s="578"/>
      <c r="CL7" s="578"/>
      <c r="CM7" s="578"/>
      <c r="CN7" s="578"/>
      <c r="CO7" s="578"/>
      <c r="CP7" s="578"/>
      <c r="CQ7" s="578"/>
      <c r="CR7" s="578"/>
      <c r="CS7" s="578"/>
      <c r="CT7" s="578"/>
      <c r="CU7" s="578"/>
      <c r="CV7" s="578"/>
      <c r="CW7" s="578"/>
      <c r="CX7" s="578"/>
      <c r="CY7" s="578"/>
      <c r="CZ7" s="578"/>
      <c r="DA7" s="578"/>
      <c r="DB7" s="578"/>
      <c r="DC7" s="578"/>
      <c r="DD7" s="578"/>
      <c r="DE7" s="578"/>
      <c r="DF7" s="578"/>
      <c r="DG7" s="578"/>
      <c r="DH7" s="578"/>
      <c r="DI7" s="578"/>
      <c r="DJ7" s="578"/>
      <c r="DK7" s="578"/>
      <c r="DL7" s="578"/>
      <c r="DM7" s="578"/>
      <c r="DN7" s="578"/>
      <c r="DO7" s="578"/>
      <c r="DP7" s="578"/>
      <c r="DQ7" s="578"/>
      <c r="DR7" s="578"/>
      <c r="DS7" s="578"/>
      <c r="DT7" s="578"/>
      <c r="DU7" s="578"/>
      <c r="DV7" s="578"/>
      <c r="DW7" s="578"/>
      <c r="DX7" s="578"/>
      <c r="DY7" s="578"/>
      <c r="DZ7" s="578"/>
      <c r="EA7" s="578"/>
      <c r="EB7" s="578"/>
      <c r="EC7" s="578"/>
      <c r="ED7" s="578"/>
      <c r="EE7" s="578"/>
      <c r="EF7" s="578"/>
      <c r="EG7" s="578"/>
      <c r="EH7" s="578"/>
      <c r="EI7" s="578"/>
      <c r="EJ7" s="578"/>
      <c r="EK7" s="578"/>
      <c r="EL7" s="578"/>
      <c r="EM7" s="578"/>
      <c r="EN7" s="578"/>
      <c r="EO7" s="578"/>
      <c r="EP7" s="578"/>
      <c r="EQ7" s="578"/>
      <c r="ER7" s="578"/>
      <c r="ES7" s="578"/>
      <c r="ET7" s="578"/>
      <c r="EU7" s="578"/>
      <c r="EV7" s="578"/>
      <c r="EW7" s="578"/>
      <c r="EX7" s="578"/>
      <c r="EY7" s="578"/>
      <c r="EZ7" s="578"/>
      <c r="FA7" s="578"/>
      <c r="FB7" s="578"/>
      <c r="FC7" s="578"/>
      <c r="FD7" s="578"/>
      <c r="FE7" s="578"/>
      <c r="FF7" s="578"/>
      <c r="FG7" s="578"/>
      <c r="FH7" s="578"/>
      <c r="FI7" s="578"/>
      <c r="FJ7" s="578"/>
      <c r="FK7" s="578"/>
      <c r="FL7" s="578"/>
      <c r="FM7" s="578"/>
      <c r="FN7" s="578"/>
      <c r="FO7" s="578"/>
      <c r="FP7" s="578"/>
      <c r="FQ7" s="578"/>
      <c r="FR7" s="578"/>
      <c r="FS7" s="578"/>
      <c r="FT7" s="580"/>
    </row>
    <row r="8" spans="1:176">
      <c r="A8" s="602" t="s">
        <v>273</v>
      </c>
      <c r="B8" s="599"/>
      <c r="C8" s="600"/>
      <c r="D8" s="604"/>
      <c r="E8" s="601"/>
      <c r="F8" s="602"/>
      <c r="G8" s="574"/>
      <c r="H8" s="2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270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Z8" s="105"/>
      <c r="DZ8" s="105"/>
      <c r="FB8" s="105"/>
      <c r="FI8" s="417"/>
      <c r="FT8" s="577"/>
    </row>
    <row r="9" spans="1:176">
      <c r="A9" s="605"/>
      <c r="B9" s="599"/>
      <c r="C9" s="606"/>
      <c r="D9" s="607"/>
      <c r="E9" s="601"/>
      <c r="F9" s="608"/>
      <c r="G9" s="574"/>
      <c r="H9" s="2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270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FT9" s="577"/>
    </row>
    <row r="10" spans="1:176">
      <c r="A10" s="445"/>
      <c r="B10" s="443"/>
      <c r="C10" s="446"/>
      <c r="D10" s="447"/>
      <c r="E10" s="444"/>
      <c r="F10" s="92"/>
      <c r="G10" s="422"/>
      <c r="H10" s="2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270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FT10" s="577"/>
    </row>
    <row r="11" spans="1:176">
      <c r="A11" s="86"/>
      <c r="B11" s="86"/>
      <c r="C11" s="86"/>
      <c r="D11" s="86"/>
      <c r="E11" s="86"/>
      <c r="F11" s="91"/>
      <c r="G11" s="92"/>
      <c r="H11" s="2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270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FT11" s="577"/>
    </row>
    <row r="12" spans="1:176">
      <c r="A12" s="86"/>
      <c r="B12" s="86"/>
      <c r="C12" s="86"/>
      <c r="D12" s="86"/>
      <c r="E12" s="86"/>
      <c r="F12" s="91"/>
      <c r="G12" s="448"/>
      <c r="H12" s="2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270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FT12" s="577"/>
    </row>
    <row r="13" spans="1:176">
      <c r="A13" s="86"/>
      <c r="B13" s="86"/>
      <c r="C13" s="86"/>
      <c r="D13" s="86"/>
      <c r="E13" s="86"/>
      <c r="F13" s="91"/>
      <c r="G13" s="92"/>
      <c r="H13" s="2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270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FT13" s="577"/>
    </row>
    <row r="14" spans="1:176">
      <c r="A14" s="86"/>
      <c r="B14" s="86"/>
      <c r="C14" s="86"/>
      <c r="D14" s="86"/>
      <c r="E14" s="86"/>
      <c r="F14" s="91"/>
      <c r="G14" s="92"/>
      <c r="H14" s="2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270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  <c r="CU14" s="101"/>
      <c r="CV14" s="101"/>
      <c r="CW14" s="101"/>
      <c r="CX14" s="101"/>
      <c r="FT14" s="577"/>
    </row>
    <row r="15" spans="1:176">
      <c r="A15" s="94"/>
      <c r="B15" s="95"/>
      <c r="C15" s="95"/>
      <c r="D15" s="95"/>
      <c r="E15" s="95"/>
      <c r="F15" s="96" t="s">
        <v>274</v>
      </c>
      <c r="G15" s="97"/>
      <c r="H15" s="90"/>
      <c r="I15" s="98">
        <f>SUM(I8:I14)</f>
        <v>0</v>
      </c>
      <c r="J15" s="98">
        <f t="shared" ref="J15:Y15" si="0">SUM(J8:J14)</f>
        <v>0</v>
      </c>
      <c r="K15" s="98">
        <f t="shared" si="0"/>
        <v>0</v>
      </c>
      <c r="L15" s="98">
        <f t="shared" si="0"/>
        <v>0</v>
      </c>
      <c r="M15" s="98">
        <f t="shared" si="0"/>
        <v>0</v>
      </c>
      <c r="N15" s="98">
        <f t="shared" si="0"/>
        <v>0</v>
      </c>
      <c r="O15" s="98">
        <f t="shared" si="0"/>
        <v>0</v>
      </c>
      <c r="P15" s="98">
        <f t="shared" si="0"/>
        <v>0</v>
      </c>
      <c r="Q15" s="98">
        <f t="shared" si="0"/>
        <v>0</v>
      </c>
      <c r="R15" s="98">
        <f t="shared" si="0"/>
        <v>0</v>
      </c>
      <c r="S15" s="98">
        <f t="shared" si="0"/>
        <v>0</v>
      </c>
      <c r="T15" s="98">
        <f t="shared" si="0"/>
        <v>0</v>
      </c>
      <c r="U15" s="98">
        <f t="shared" si="0"/>
        <v>0</v>
      </c>
      <c r="V15" s="98">
        <f t="shared" si="0"/>
        <v>0</v>
      </c>
      <c r="W15" s="98">
        <f t="shared" si="0"/>
        <v>0</v>
      </c>
      <c r="X15" s="98">
        <f t="shared" si="0"/>
        <v>0</v>
      </c>
      <c r="Y15" s="359">
        <f t="shared" si="0"/>
        <v>0</v>
      </c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1"/>
      <c r="DD15" s="101"/>
      <c r="DE15" s="101"/>
      <c r="DF15" s="101"/>
      <c r="DG15" s="101"/>
      <c r="DH15" s="101"/>
      <c r="DI15" s="101"/>
      <c r="DJ15" s="101"/>
      <c r="DK15" s="101"/>
      <c r="DL15" s="101"/>
      <c r="DM15" s="101"/>
      <c r="DN15" s="101"/>
      <c r="DO15" s="101"/>
      <c r="DP15" s="101"/>
      <c r="DQ15" s="101"/>
      <c r="DR15" s="101"/>
      <c r="DS15" s="101"/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1"/>
      <c r="EL15" s="101"/>
      <c r="EM15" s="101"/>
      <c r="EN15" s="101"/>
      <c r="EO15" s="101"/>
      <c r="EP15" s="101"/>
      <c r="EQ15" s="101"/>
      <c r="ER15" s="101"/>
      <c r="ES15" s="101"/>
      <c r="ET15" s="101"/>
      <c r="EU15" s="101"/>
      <c r="EV15" s="101"/>
      <c r="EW15" s="101"/>
      <c r="EX15" s="101"/>
      <c r="EY15" s="101"/>
      <c r="EZ15" s="101"/>
      <c r="FA15" s="101"/>
      <c r="FB15" s="101"/>
      <c r="FC15" s="101"/>
      <c r="FD15" s="101"/>
      <c r="FE15" s="101"/>
      <c r="FF15" s="101"/>
      <c r="FG15" s="101"/>
      <c r="FH15" s="101"/>
      <c r="FI15" s="101"/>
      <c r="FJ15" s="101"/>
      <c r="FK15" s="101"/>
      <c r="FL15" s="101"/>
      <c r="FM15" s="101"/>
      <c r="FN15" s="101"/>
      <c r="FO15" s="101"/>
      <c r="FP15" s="101"/>
      <c r="FQ15" s="101"/>
      <c r="FR15" s="101"/>
      <c r="FS15" s="101"/>
      <c r="FT15" s="581"/>
    </row>
    <row r="16" spans="1:176">
      <c r="A16" s="39"/>
      <c r="B16" s="39"/>
      <c r="C16" s="39"/>
      <c r="D16" s="39"/>
      <c r="E16" s="39"/>
      <c r="F16" s="35"/>
      <c r="G16" s="99"/>
      <c r="H16" s="100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  <c r="CU16" s="101"/>
      <c r="CV16" s="101"/>
      <c r="CW16" s="101"/>
      <c r="CX16" s="101"/>
    </row>
    <row r="17" spans="1:103">
      <c r="A17" s="39"/>
      <c r="B17" s="39"/>
      <c r="C17" s="39"/>
      <c r="D17" s="39"/>
      <c r="E17" s="39"/>
      <c r="F17" s="35"/>
      <c r="G17" s="99"/>
      <c r="H17" s="100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</row>
    <row r="18" spans="1:103">
      <c r="A18" s="102"/>
      <c r="B18" s="102"/>
      <c r="C18" s="102"/>
      <c r="D18" s="103"/>
      <c r="E18" s="104"/>
      <c r="F18" s="39"/>
      <c r="G18" s="105"/>
      <c r="H18" s="100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1"/>
      <c r="CF18" s="101"/>
      <c r="CG18" s="101"/>
      <c r="CH18" s="101"/>
      <c r="CI18" s="101"/>
      <c r="CJ18" s="101"/>
      <c r="CK18" s="101"/>
      <c r="CL18" s="101"/>
      <c r="CM18" s="101"/>
      <c r="CN18" s="101"/>
      <c r="CO18" s="101"/>
      <c r="CP18" s="101"/>
      <c r="CQ18" s="101"/>
      <c r="CR18" s="101"/>
      <c r="CS18" s="101"/>
      <c r="CT18" s="101"/>
      <c r="CU18" s="101"/>
      <c r="CV18" s="101"/>
      <c r="CW18" s="101"/>
      <c r="CX18" s="101"/>
    </row>
    <row r="19" spans="1:103">
      <c r="A19" s="39"/>
      <c r="B19" s="39"/>
      <c r="C19" s="39"/>
      <c r="D19" s="39"/>
      <c r="E19" s="39"/>
      <c r="F19" s="35"/>
      <c r="G19" s="39" t="s">
        <v>162</v>
      </c>
      <c r="H19" s="100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  <c r="CU19" s="101"/>
      <c r="CV19" s="101"/>
      <c r="CW19" s="101"/>
      <c r="CX19" s="101"/>
    </row>
    <row r="20" spans="1:103">
      <c r="A20" s="39"/>
      <c r="B20" s="39"/>
      <c r="C20" s="39"/>
      <c r="D20" s="39"/>
      <c r="E20" s="39"/>
      <c r="F20" s="35"/>
      <c r="G20" s="39" t="s">
        <v>162</v>
      </c>
      <c r="H20" s="100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  <c r="CU20" s="101"/>
      <c r="CV20" s="101"/>
      <c r="CW20" s="101"/>
      <c r="CX20" s="101"/>
    </row>
    <row r="21" spans="1:103" ht="22.5" hidden="1">
      <c r="A21" s="46" t="s">
        <v>275</v>
      </c>
      <c r="B21" s="46" t="s">
        <v>276</v>
      </c>
      <c r="C21" s="46" t="s">
        <v>277</v>
      </c>
      <c r="D21" s="106" t="s">
        <v>278</v>
      </c>
      <c r="E21" s="106" t="s">
        <v>279</v>
      </c>
      <c r="F21" s="107" t="s">
        <v>280</v>
      </c>
      <c r="G21" s="108" t="s">
        <v>281</v>
      </c>
      <c r="H21" s="90"/>
      <c r="I21" s="151">
        <v>44711</v>
      </c>
      <c r="J21" s="151">
        <v>44712</v>
      </c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58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4"/>
      <c r="AP21" s="514"/>
      <c r="AQ21" s="514"/>
      <c r="AR21" s="514"/>
      <c r="AS21" s="514"/>
      <c r="AT21" s="514"/>
      <c r="AU21" s="514"/>
      <c r="AV21" s="514"/>
      <c r="AW21" s="514"/>
      <c r="AX21" s="514"/>
      <c r="AY21" s="514"/>
      <c r="AZ21" s="514"/>
      <c r="BA21" s="514"/>
      <c r="BB21" s="514"/>
      <c r="BC21" s="514"/>
      <c r="BD21" s="514"/>
      <c r="BE21" s="514"/>
      <c r="BF21" s="514"/>
      <c r="BG21" s="514"/>
      <c r="BH21" s="514"/>
      <c r="BI21" s="514"/>
      <c r="BJ21" s="514"/>
      <c r="BK21" s="514"/>
      <c r="BL21" s="514"/>
      <c r="BM21" s="514"/>
      <c r="BN21" s="514"/>
      <c r="BO21" s="514"/>
      <c r="BP21" s="514"/>
      <c r="BQ21" s="514"/>
      <c r="BR21" s="514"/>
      <c r="BS21" s="514"/>
      <c r="BT21" s="514"/>
      <c r="BU21" s="514"/>
      <c r="BV21" s="514"/>
      <c r="BW21" s="514"/>
      <c r="BX21" s="514"/>
      <c r="BY21" s="514"/>
      <c r="BZ21" s="514"/>
      <c r="CA21" s="514"/>
      <c r="CB21" s="514"/>
      <c r="CC21" s="514"/>
      <c r="CD21" s="514"/>
      <c r="CE21" s="514"/>
      <c r="CF21" s="514"/>
      <c r="CG21" s="514"/>
      <c r="CH21" s="514"/>
      <c r="CI21" s="514"/>
      <c r="CJ21" s="514"/>
      <c r="CK21" s="514"/>
      <c r="CL21" s="514"/>
      <c r="CM21" s="514"/>
      <c r="CN21" s="514"/>
      <c r="CO21" s="514"/>
      <c r="CP21" s="514"/>
      <c r="CQ21" s="514"/>
      <c r="CR21" s="514"/>
      <c r="CS21" s="514"/>
      <c r="CT21" s="514"/>
      <c r="CU21" s="514"/>
      <c r="CV21" s="514"/>
      <c r="CW21" s="514"/>
      <c r="CX21" s="514"/>
    </row>
    <row r="22" spans="1:103" hidden="1">
      <c r="A22" s="86"/>
      <c r="B22" s="86"/>
      <c r="C22" s="86"/>
      <c r="D22" s="405"/>
      <c r="E22" s="405"/>
      <c r="F22" s="449"/>
      <c r="G22" s="450"/>
      <c r="H22" s="2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270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</row>
    <row r="23" spans="1:103" hidden="1">
      <c r="A23" s="86"/>
      <c r="B23" s="86"/>
      <c r="C23" s="86"/>
      <c r="D23" s="405"/>
      <c r="E23" s="405"/>
      <c r="F23" s="449"/>
      <c r="G23" s="450"/>
      <c r="H23" s="2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270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  <c r="CU23" s="101"/>
      <c r="CV23" s="101"/>
      <c r="CW23" s="101"/>
      <c r="CX23" s="101"/>
    </row>
    <row r="24" spans="1:103" hidden="1">
      <c r="A24" s="86"/>
      <c r="B24" s="86"/>
      <c r="C24" s="86"/>
      <c r="D24" s="405"/>
      <c r="E24" s="405"/>
      <c r="F24" s="449"/>
      <c r="G24" s="450"/>
      <c r="H24" s="2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70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</row>
    <row r="25" spans="1:103" hidden="1">
      <c r="A25" s="86"/>
      <c r="B25" s="86"/>
      <c r="C25" s="86"/>
      <c r="D25" s="86"/>
      <c r="E25" s="405"/>
      <c r="F25" s="91"/>
      <c r="G25" s="450" t="s">
        <v>162</v>
      </c>
      <c r="H25" s="2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270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  <c r="CU25" s="101"/>
      <c r="CV25" s="101"/>
      <c r="CW25" s="101"/>
      <c r="CX25" s="101"/>
    </row>
    <row r="26" spans="1:103" hidden="1">
      <c r="A26" s="86"/>
      <c r="B26" s="86"/>
      <c r="C26" s="86"/>
      <c r="D26" s="86"/>
      <c r="E26" s="405"/>
      <c r="F26" s="91"/>
      <c r="G26" s="451" t="s">
        <v>162</v>
      </c>
      <c r="H26" s="2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270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  <c r="CU26" s="101"/>
      <c r="CV26" s="101"/>
      <c r="CW26" s="101"/>
      <c r="CX26" s="101"/>
    </row>
    <row r="27" spans="1:103" hidden="1">
      <c r="A27" s="86"/>
      <c r="B27" s="86"/>
      <c r="C27" s="86"/>
      <c r="D27" s="86"/>
      <c r="E27" s="405"/>
      <c r="F27" s="91"/>
      <c r="G27" s="451" t="s">
        <v>162</v>
      </c>
      <c r="H27" s="2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270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  <c r="CU27" s="101"/>
      <c r="CV27" s="101"/>
      <c r="CW27" s="101"/>
      <c r="CX27" s="101"/>
    </row>
    <row r="28" spans="1:103" ht="45" hidden="1">
      <c r="A28" s="452"/>
      <c r="B28" s="452"/>
      <c r="C28" s="452"/>
      <c r="D28" s="452"/>
      <c r="E28" s="452"/>
      <c r="F28" s="453"/>
      <c r="G28" s="454" t="s">
        <v>282</v>
      </c>
      <c r="H28" s="29"/>
      <c r="I28" s="30">
        <f t="shared" ref="I28:J28" si="1">SUM(I22:I27)</f>
        <v>0</v>
      </c>
      <c r="J28" s="30">
        <f t="shared" si="1"/>
        <v>0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4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5"/>
      <c r="CL28" s="105"/>
      <c r="CM28" s="105"/>
      <c r="CN28" s="105"/>
      <c r="CO28" s="105"/>
      <c r="CP28" s="105"/>
      <c r="CQ28" s="105"/>
      <c r="CR28" s="105"/>
      <c r="CS28" s="105"/>
      <c r="CT28" s="105"/>
      <c r="CU28" s="105"/>
      <c r="CV28" s="105"/>
      <c r="CW28" s="105"/>
      <c r="CX28" s="105"/>
      <c r="CY28" s="582"/>
    </row>
    <row r="29" spans="1:103" hidden="1">
      <c r="G29" s="109"/>
      <c r="H29" s="110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582"/>
    </row>
    <row r="30" spans="1:103">
      <c r="G30" s="21"/>
      <c r="H30" s="31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582"/>
    </row>
    <row r="31" spans="1:103">
      <c r="G31" s="2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  <c r="AN31" s="417"/>
      <c r="AO31" s="417"/>
      <c r="AP31" s="417"/>
      <c r="AQ31" s="417"/>
      <c r="AR31" s="417"/>
      <c r="AS31" s="417"/>
      <c r="AT31" s="417"/>
      <c r="AU31" s="417"/>
      <c r="AV31" s="417"/>
      <c r="AW31" s="417"/>
      <c r="AX31" s="417"/>
      <c r="AY31" s="417"/>
      <c r="AZ31" s="417"/>
      <c r="BA31" s="417"/>
      <c r="BB31" s="417"/>
      <c r="BC31" s="417"/>
      <c r="BD31" s="417"/>
      <c r="BE31" s="417"/>
      <c r="BF31" s="417"/>
      <c r="BG31" s="417"/>
      <c r="BH31" s="417"/>
      <c r="BI31" s="417"/>
      <c r="BJ31" s="417"/>
      <c r="BK31" s="417"/>
      <c r="BL31" s="417"/>
      <c r="BM31" s="417"/>
      <c r="BN31" s="417"/>
      <c r="BO31" s="417"/>
      <c r="BP31" s="417"/>
      <c r="BQ31" s="417"/>
      <c r="BR31" s="417"/>
      <c r="BS31" s="417"/>
      <c r="BT31" s="417"/>
      <c r="BU31" s="417"/>
      <c r="BV31" s="417"/>
      <c r="BW31" s="417"/>
      <c r="BX31" s="417"/>
      <c r="BY31" s="417"/>
      <c r="BZ31" s="417"/>
      <c r="CA31" s="417"/>
      <c r="CB31" s="417"/>
      <c r="CC31" s="417"/>
      <c r="CD31" s="417"/>
      <c r="CE31" s="417"/>
      <c r="CF31" s="417"/>
      <c r="CG31" s="417"/>
      <c r="CH31" s="417"/>
      <c r="CI31" s="417"/>
      <c r="CJ31" s="417"/>
      <c r="CK31" s="417"/>
      <c r="CL31" s="417"/>
      <c r="CM31" s="417"/>
      <c r="CN31" s="417"/>
      <c r="CO31" s="417"/>
      <c r="CP31" s="417"/>
      <c r="CQ31" s="417"/>
      <c r="CR31" s="417"/>
      <c r="CS31" s="417"/>
      <c r="CT31" s="417"/>
      <c r="CU31" s="417"/>
      <c r="CV31" s="417"/>
      <c r="CW31" s="417"/>
      <c r="CX31" s="417"/>
    </row>
  </sheetData>
  <dataValidations count="1">
    <dataValidation type="decimal" allowBlank="1" showInputMessage="1" sqref="G18 G8:G9 CZ8 DZ8 FB8" xr:uid="{3300CE9D-9351-4310-B656-CA99B9D50040}">
      <formula1>-10000000</formula1>
      <formula2>10000000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7031-C797-410D-A245-8796156AF6CA}">
  <sheetPr codeName="Sheet8">
    <tabColor theme="0"/>
  </sheetPr>
  <dimension ref="A1:X66"/>
  <sheetViews>
    <sheetView zoomScaleNormal="100" workbookViewId="0">
      <pane xSplit="4" ySplit="51" topLeftCell="R52" activePane="bottomRight" state="frozen"/>
      <selection pane="topRight" activeCell="C1" sqref="C1"/>
      <selection pane="bottomLeft" activeCell="A42" sqref="A42"/>
      <selection pane="bottomRight" activeCell="S15" sqref="S15"/>
    </sheetView>
  </sheetViews>
  <sheetFormatPr defaultColWidth="8" defaultRowHeight="11.25" customHeight="1"/>
  <cols>
    <col min="1" max="1" width="4.7109375" style="15" customWidth="1"/>
    <col min="2" max="2" width="18.42578125" style="15" customWidth="1"/>
    <col min="3" max="3" width="19.140625" style="10" customWidth="1"/>
    <col min="4" max="4" width="17.7109375" style="40" customWidth="1"/>
    <col min="5" max="5" width="12.5703125" style="40" customWidth="1"/>
    <col min="6" max="6" width="17.7109375" style="40" customWidth="1"/>
    <col min="7" max="7" width="19.140625" style="15" customWidth="1"/>
    <col min="8" max="24" width="13.7109375" style="15" customWidth="1"/>
    <col min="25" max="16384" width="8" style="39"/>
  </cols>
  <sheetData>
    <row r="1" spans="2:24" ht="18.75" customHeight="1">
      <c r="C1" s="296" t="s">
        <v>283</v>
      </c>
      <c r="D1" s="11" t="s">
        <v>106</v>
      </c>
      <c r="E1" s="12" t="s">
        <v>166</v>
      </c>
      <c r="G1" s="153"/>
      <c r="H1" s="14" t="s">
        <v>108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2:24" ht="12" customHeight="1">
      <c r="C2" s="297" t="s">
        <v>284</v>
      </c>
      <c r="D2" s="11" t="s">
        <v>109</v>
      </c>
      <c r="E2" s="17" t="s">
        <v>285</v>
      </c>
      <c r="G2" s="151"/>
      <c r="H2" s="14" t="s">
        <v>233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2:24" ht="10.15" customHeight="1">
      <c r="C3" s="296" t="s">
        <v>286</v>
      </c>
      <c r="D3" s="11" t="s">
        <v>111</v>
      </c>
      <c r="E3" s="18"/>
      <c r="G3" s="152"/>
      <c r="H3" s="14" t="s">
        <v>112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2:24">
      <c r="C4" s="173"/>
      <c r="D4" s="11" t="s">
        <v>113</v>
      </c>
      <c r="E4" s="175">
        <f>'IN-ACC-Piutang &amp; Revenue'!D4</f>
        <v>0</v>
      </c>
      <c r="F4" s="20" t="s">
        <v>114</v>
      </c>
      <c r="G4" s="20" t="s">
        <v>114</v>
      </c>
      <c r="H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2:24" ht="12.75">
      <c r="D5" s="174"/>
      <c r="E5" s="174"/>
      <c r="F5" s="174"/>
      <c r="H5" s="496" t="s">
        <v>8</v>
      </c>
      <c r="I5" s="350" t="s">
        <v>9</v>
      </c>
      <c r="J5" s="350" t="s">
        <v>10</v>
      </c>
      <c r="K5" s="295" t="s">
        <v>11</v>
      </c>
      <c r="L5" s="353" t="s">
        <v>12</v>
      </c>
      <c r="M5" s="295" t="s">
        <v>13</v>
      </c>
      <c r="N5" s="353" t="s">
        <v>14</v>
      </c>
      <c r="O5" s="496" t="s">
        <v>8</v>
      </c>
      <c r="P5" s="350" t="s">
        <v>9</v>
      </c>
      <c r="Q5" s="350" t="s">
        <v>10</v>
      </c>
      <c r="R5" s="295" t="s">
        <v>11</v>
      </c>
      <c r="S5" s="353" t="s">
        <v>12</v>
      </c>
      <c r="T5" s="295" t="s">
        <v>13</v>
      </c>
      <c r="U5" s="353" t="s">
        <v>14</v>
      </c>
      <c r="V5" s="496" t="s">
        <v>8</v>
      </c>
      <c r="W5" s="350" t="s">
        <v>9</v>
      </c>
      <c r="X5" s="1"/>
    </row>
    <row r="6" spans="2:24" ht="25.5">
      <c r="B6" s="471" t="s">
        <v>287</v>
      </c>
      <c r="C6" s="471" t="s">
        <v>288</v>
      </c>
      <c r="D6" s="472" t="s">
        <v>289</v>
      </c>
      <c r="E6" s="291" t="s">
        <v>290</v>
      </c>
      <c r="F6" s="291" t="s">
        <v>291</v>
      </c>
      <c r="G6" s="4" t="s">
        <v>118</v>
      </c>
      <c r="H6" s="302">
        <v>45947</v>
      </c>
      <c r="I6" s="302">
        <v>45948</v>
      </c>
      <c r="J6" s="302">
        <v>45949</v>
      </c>
      <c r="K6" s="302">
        <v>45950</v>
      </c>
      <c r="L6" s="302">
        <v>45951</v>
      </c>
      <c r="M6" s="302">
        <v>45952</v>
      </c>
      <c r="N6" s="302">
        <v>45953</v>
      </c>
      <c r="O6" s="302">
        <v>45954</v>
      </c>
      <c r="P6" s="302">
        <v>45955</v>
      </c>
      <c r="Q6" s="302">
        <v>45956</v>
      </c>
      <c r="R6" s="302">
        <v>45957</v>
      </c>
      <c r="S6" s="302">
        <v>45958</v>
      </c>
      <c r="T6" s="302">
        <v>45959</v>
      </c>
      <c r="U6" s="302">
        <v>45960</v>
      </c>
      <c r="V6" s="302">
        <v>45961</v>
      </c>
      <c r="W6" s="302">
        <v>45962</v>
      </c>
      <c r="X6" s="583" t="s">
        <v>28</v>
      </c>
    </row>
    <row r="7" spans="2:24">
      <c r="B7" s="86"/>
      <c r="C7" s="91"/>
      <c r="D7" s="440"/>
      <c r="G7" s="44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2:24">
      <c r="D8" s="154"/>
      <c r="E8" s="154"/>
      <c r="F8" s="154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</row>
    <row r="9" spans="2:24">
      <c r="B9" s="442"/>
      <c r="C9" s="442"/>
      <c r="D9" s="41"/>
      <c r="E9" s="41"/>
      <c r="F9" s="4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2:24">
      <c r="B10" s="86"/>
      <c r="C10" s="91"/>
      <c r="D10" s="86"/>
      <c r="E10" s="506"/>
      <c r="F10" s="506"/>
      <c r="G10" s="26"/>
      <c r="H10" s="505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>
        <f>SUM(H10:W10)</f>
        <v>0</v>
      </c>
    </row>
    <row r="11" spans="2:24">
      <c r="B11" s="86" t="s">
        <v>292</v>
      </c>
      <c r="C11" s="91" t="s">
        <v>293</v>
      </c>
      <c r="D11" s="506">
        <v>294821550</v>
      </c>
      <c r="E11" s="473">
        <f>D11*100/111</f>
        <v>265605000</v>
      </c>
      <c r="F11" s="506">
        <v>195035000</v>
      </c>
      <c r="G11" s="26" t="s">
        <v>294</v>
      </c>
      <c r="H11" s="505">
        <v>23965000</v>
      </c>
      <c r="I11" s="27"/>
      <c r="J11" s="27"/>
      <c r="K11" s="27"/>
      <c r="L11" s="27">
        <v>37000000</v>
      </c>
      <c r="M11" s="27"/>
      <c r="N11" s="27"/>
      <c r="O11" s="27"/>
      <c r="P11" s="27"/>
      <c r="Q11" s="27"/>
      <c r="R11" s="27"/>
      <c r="S11" s="27">
        <v>37750000</v>
      </c>
      <c r="T11" s="27"/>
      <c r="U11" s="27"/>
      <c r="V11" s="27"/>
      <c r="W11" s="27"/>
      <c r="X11" s="27">
        <f t="shared" ref="X11:X26" si="0">SUM(H11:W11)</f>
        <v>98715000</v>
      </c>
    </row>
    <row r="12" spans="2:24">
      <c r="B12" s="86" t="s">
        <v>295</v>
      </c>
      <c r="C12" s="91" t="s">
        <v>296</v>
      </c>
      <c r="D12" s="506">
        <v>1475000000</v>
      </c>
      <c r="E12" s="473">
        <f>D12*100/111</f>
        <v>1328828828.8288288</v>
      </c>
      <c r="F12" s="506">
        <v>1164220200</v>
      </c>
      <c r="G12" s="26" t="s">
        <v>297</v>
      </c>
      <c r="H12" s="505">
        <v>516172600</v>
      </c>
      <c r="I12" s="27"/>
      <c r="J12" s="27"/>
      <c r="K12" s="27"/>
      <c r="L12" s="27">
        <v>75150000</v>
      </c>
      <c r="M12" s="27"/>
      <c r="N12" s="27"/>
      <c r="O12" s="27"/>
      <c r="P12" s="27"/>
      <c r="Q12" s="27"/>
      <c r="R12" s="27"/>
      <c r="S12" s="27"/>
      <c r="T12" s="27"/>
      <c r="U12" s="27">
        <v>1750000</v>
      </c>
      <c r="V12" s="27"/>
      <c r="W12" s="27"/>
      <c r="X12" s="27">
        <f t="shared" si="0"/>
        <v>593072600</v>
      </c>
    </row>
    <row r="13" spans="2:24">
      <c r="B13" s="86" t="s">
        <v>298</v>
      </c>
      <c r="C13" s="91" t="s">
        <v>299</v>
      </c>
      <c r="D13" s="506">
        <v>581440000</v>
      </c>
      <c r="E13" s="473">
        <f t="shared" ref="E13:E21" si="1">D13*100/111</f>
        <v>523819819.81981981</v>
      </c>
      <c r="F13" s="506">
        <v>350839388</v>
      </c>
      <c r="G13" s="26" t="s">
        <v>300</v>
      </c>
      <c r="H13" s="505">
        <v>52134694</v>
      </c>
      <c r="I13" s="27"/>
      <c r="J13" s="27"/>
      <c r="K13" s="27"/>
      <c r="L13" s="27">
        <v>46484694</v>
      </c>
      <c r="M13" s="27"/>
      <c r="N13" s="27"/>
      <c r="O13" s="27"/>
      <c r="P13" s="27"/>
      <c r="Q13" s="27"/>
      <c r="R13" s="27"/>
      <c r="S13" s="27"/>
      <c r="T13" s="27"/>
      <c r="U13" s="27">
        <v>24750000</v>
      </c>
      <c r="V13" s="27"/>
      <c r="W13" s="27"/>
      <c r="X13" s="27">
        <f t="shared" si="0"/>
        <v>123369388</v>
      </c>
    </row>
    <row r="14" spans="2:24">
      <c r="B14" s="86" t="s">
        <v>301</v>
      </c>
      <c r="C14" s="91" t="s">
        <v>302</v>
      </c>
      <c r="D14" s="506">
        <v>1105522788</v>
      </c>
      <c r="E14" s="473">
        <f t="shared" si="1"/>
        <v>995966475.67567563</v>
      </c>
      <c r="F14" s="506">
        <f t="shared" ref="F14:F20" si="2">E14*80%</f>
        <v>796773180.54054058</v>
      </c>
      <c r="G14" s="26" t="s">
        <v>303</v>
      </c>
      <c r="H14" s="505">
        <f t="shared" ref="H14" si="3">30%*E14</f>
        <v>298789942.7027027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>
        <f t="shared" si="0"/>
        <v>298789942.7027027</v>
      </c>
    </row>
    <row r="15" spans="2:24">
      <c r="B15" s="86" t="s">
        <v>304</v>
      </c>
      <c r="C15" s="91" t="s">
        <v>305</v>
      </c>
      <c r="D15" s="506">
        <v>189560250</v>
      </c>
      <c r="E15" s="473">
        <f t="shared" si="1"/>
        <v>170775000</v>
      </c>
      <c r="F15" s="506">
        <f t="shared" si="2"/>
        <v>136620000</v>
      </c>
      <c r="G15" s="26" t="s">
        <v>306</v>
      </c>
      <c r="H15" s="86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505">
        <f>30%*E15</f>
        <v>51232500</v>
      </c>
      <c r="V15" s="27"/>
      <c r="W15" s="27"/>
      <c r="X15" s="27">
        <f t="shared" si="0"/>
        <v>51232500</v>
      </c>
    </row>
    <row r="16" spans="2:24">
      <c r="B16" s="86" t="s">
        <v>307</v>
      </c>
      <c r="C16" s="91" t="s">
        <v>308</v>
      </c>
      <c r="D16" s="506">
        <v>85933980</v>
      </c>
      <c r="E16" s="473">
        <f t="shared" si="1"/>
        <v>77418000</v>
      </c>
      <c r="F16" s="506">
        <f>E16*85%</f>
        <v>65805300</v>
      </c>
      <c r="G16" s="26" t="s">
        <v>309</v>
      </c>
      <c r="H16" s="86"/>
      <c r="I16" s="27"/>
      <c r="J16" s="27"/>
      <c r="K16" s="27"/>
      <c r="L16" s="505">
        <f>30%*E16</f>
        <v>23225400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>
        <f t="shared" si="0"/>
        <v>23225400</v>
      </c>
    </row>
    <row r="17" spans="2:24">
      <c r="B17" s="86" t="s">
        <v>310</v>
      </c>
      <c r="C17" s="91" t="s">
        <v>311</v>
      </c>
      <c r="D17" s="506">
        <v>53000000</v>
      </c>
      <c r="E17" s="473">
        <f>D17*100/101.2</f>
        <v>52371541.501976281</v>
      </c>
      <c r="F17" s="506">
        <v>41250000</v>
      </c>
      <c r="G17" s="26" t="s">
        <v>312</v>
      </c>
      <c r="H17" s="574"/>
      <c r="I17" s="701"/>
      <c r="J17" s="701"/>
      <c r="K17" s="701"/>
      <c r="L17" s="701">
        <v>19150000</v>
      </c>
      <c r="M17" s="701"/>
      <c r="N17" s="701">
        <v>8950000</v>
      </c>
      <c r="O17" s="701"/>
      <c r="P17" s="701"/>
      <c r="Q17" s="701"/>
      <c r="R17" s="701"/>
      <c r="S17" s="701"/>
      <c r="T17" s="701"/>
      <c r="U17" s="701">
        <v>3150000</v>
      </c>
      <c r="V17" s="701"/>
      <c r="W17" s="701"/>
      <c r="X17" s="27">
        <f t="shared" si="0"/>
        <v>31250000</v>
      </c>
    </row>
    <row r="18" spans="2:24">
      <c r="B18" s="86" t="s">
        <v>313</v>
      </c>
      <c r="C18" s="91" t="s">
        <v>314</v>
      </c>
      <c r="D18" s="506">
        <v>1216214291</v>
      </c>
      <c r="E18" s="473">
        <f t="shared" si="1"/>
        <v>1095688550.4504504</v>
      </c>
      <c r="F18" s="506">
        <f t="shared" si="2"/>
        <v>876550840.36036038</v>
      </c>
      <c r="G18" s="26" t="s">
        <v>315</v>
      </c>
      <c r="H18" s="574"/>
      <c r="I18" s="702"/>
      <c r="J18" s="702"/>
      <c r="K18" s="702"/>
      <c r="L18" s="702"/>
      <c r="M18" s="702"/>
      <c r="N18" s="702"/>
      <c r="O18" s="702"/>
      <c r="P18" s="702"/>
      <c r="Q18" s="702"/>
      <c r="R18" s="702"/>
      <c r="S18" s="702"/>
      <c r="T18" s="702"/>
      <c r="U18" s="702"/>
      <c r="V18" s="702"/>
      <c r="W18" s="702"/>
      <c r="X18" s="27">
        <f t="shared" si="0"/>
        <v>0</v>
      </c>
    </row>
    <row r="19" spans="2:24">
      <c r="B19" s="86" t="s">
        <v>316</v>
      </c>
      <c r="C19" s="91" t="s">
        <v>317</v>
      </c>
      <c r="D19" s="506">
        <v>876140183</v>
      </c>
      <c r="E19" s="473">
        <f t="shared" si="1"/>
        <v>789315480.18018019</v>
      </c>
      <c r="F19" s="506">
        <f t="shared" si="2"/>
        <v>631452384.14414418</v>
      </c>
      <c r="G19" s="26" t="s">
        <v>318</v>
      </c>
      <c r="H19" s="86"/>
      <c r="I19" s="702"/>
      <c r="J19" s="702"/>
      <c r="K19" s="702"/>
      <c r="L19" s="702"/>
      <c r="M19" s="702"/>
      <c r="N19" s="505">
        <f>30%*E19</f>
        <v>236794644.05405405</v>
      </c>
      <c r="O19" s="702"/>
      <c r="P19" s="702"/>
      <c r="Q19" s="702"/>
      <c r="R19" s="702"/>
      <c r="S19" s="702"/>
      <c r="T19" s="702"/>
      <c r="U19" s="702"/>
      <c r="V19" s="702"/>
      <c r="W19" s="702"/>
      <c r="X19" s="27">
        <f t="shared" si="0"/>
        <v>236794644.05405405</v>
      </c>
    </row>
    <row r="20" spans="2:24">
      <c r="B20" s="86" t="s">
        <v>319</v>
      </c>
      <c r="C20" s="91" t="s">
        <v>320</v>
      </c>
      <c r="D20" s="506">
        <v>101189154</v>
      </c>
      <c r="E20" s="473">
        <f t="shared" si="1"/>
        <v>91161400</v>
      </c>
      <c r="F20" s="506">
        <f t="shared" si="2"/>
        <v>72929120</v>
      </c>
      <c r="G20" s="26" t="s">
        <v>318</v>
      </c>
      <c r="H20" s="86"/>
      <c r="I20" s="702"/>
      <c r="J20" s="702"/>
      <c r="K20" s="702"/>
      <c r="L20" s="702"/>
      <c r="M20" s="702"/>
      <c r="N20" s="505">
        <f>30%*E20</f>
        <v>27348420</v>
      </c>
      <c r="O20" s="702"/>
      <c r="P20" s="702"/>
      <c r="Q20" s="702"/>
      <c r="R20" s="702"/>
      <c r="S20" s="702"/>
      <c r="T20" s="702"/>
      <c r="U20" s="702"/>
      <c r="V20" s="702"/>
      <c r="W20" s="702"/>
      <c r="X20" s="27">
        <f t="shared" si="0"/>
        <v>27348420</v>
      </c>
    </row>
    <row r="21" spans="2:24">
      <c r="B21" s="86" t="s">
        <v>321</v>
      </c>
      <c r="C21" s="91" t="s">
        <v>322</v>
      </c>
      <c r="D21" s="506">
        <v>219541905</v>
      </c>
      <c r="E21" s="473">
        <f t="shared" si="1"/>
        <v>197785500</v>
      </c>
      <c r="F21" s="506">
        <v>15665000</v>
      </c>
      <c r="G21" s="26" t="s">
        <v>323</v>
      </c>
      <c r="H21" s="574"/>
      <c r="I21" s="702"/>
      <c r="J21" s="702"/>
      <c r="K21" s="702"/>
      <c r="L21" s="702">
        <v>75725000</v>
      </c>
      <c r="M21" s="702"/>
      <c r="N21" s="702">
        <v>19750000</v>
      </c>
      <c r="O21" s="702"/>
      <c r="P21" s="702"/>
      <c r="Q21" s="702"/>
      <c r="R21" s="702"/>
      <c r="S21" s="702"/>
      <c r="T21" s="702"/>
      <c r="U21" s="702"/>
      <c r="V21" s="702"/>
      <c r="W21" s="702"/>
      <c r="X21" s="27">
        <f t="shared" si="0"/>
        <v>95475000</v>
      </c>
    </row>
    <row r="22" spans="2:24">
      <c r="B22" s="86"/>
      <c r="C22" s="91"/>
      <c r="D22" s="451"/>
      <c r="E22" s="86"/>
      <c r="F22" s="86"/>
      <c r="G22" s="26"/>
      <c r="H22" s="474"/>
      <c r="I22" s="474"/>
      <c r="J22" s="474"/>
      <c r="K22" s="474"/>
      <c r="L22" s="474"/>
      <c r="M22" s="474"/>
      <c r="N22" s="474"/>
      <c r="O22" s="474"/>
      <c r="P22" s="474"/>
      <c r="Q22" s="474"/>
      <c r="R22" s="474"/>
      <c r="S22" s="474"/>
      <c r="T22" s="474"/>
      <c r="U22" s="474"/>
      <c r="V22" s="474"/>
      <c r="W22" s="474"/>
      <c r="X22" s="27">
        <f t="shared" si="0"/>
        <v>0</v>
      </c>
    </row>
    <row r="23" spans="2:24">
      <c r="B23" s="86"/>
      <c r="C23" s="91"/>
      <c r="D23" s="467"/>
      <c r="E23" s="156"/>
      <c r="F23" s="156"/>
      <c r="G23" s="26"/>
      <c r="H23" s="474"/>
      <c r="I23" s="474"/>
      <c r="J23" s="474"/>
      <c r="K23" s="474"/>
      <c r="L23" s="474"/>
      <c r="M23" s="474"/>
      <c r="N23" s="474"/>
      <c r="O23" s="474"/>
      <c r="P23" s="474"/>
      <c r="Q23" s="474"/>
      <c r="R23" s="474"/>
      <c r="S23" s="474"/>
      <c r="T23" s="474"/>
      <c r="U23" s="474"/>
      <c r="V23" s="474"/>
      <c r="W23" s="474"/>
      <c r="X23" s="27">
        <f t="shared" si="0"/>
        <v>0</v>
      </c>
    </row>
    <row r="24" spans="2:24">
      <c r="B24" s="86"/>
      <c r="C24" s="91"/>
      <c r="D24" s="451"/>
      <c r="E24" s="86"/>
      <c r="F24" s="86"/>
      <c r="G24" s="26"/>
      <c r="H24" s="474"/>
      <c r="I24" s="474"/>
      <c r="J24" s="474"/>
      <c r="K24" s="474"/>
      <c r="L24" s="474"/>
      <c r="M24" s="474"/>
      <c r="N24" s="474"/>
      <c r="O24" s="474"/>
      <c r="P24" s="474"/>
      <c r="Q24" s="474"/>
      <c r="R24" s="474"/>
      <c r="S24" s="474"/>
      <c r="T24" s="474"/>
      <c r="U24" s="474"/>
      <c r="V24" s="474"/>
      <c r="W24" s="474"/>
      <c r="X24" s="27">
        <f t="shared" si="0"/>
        <v>0</v>
      </c>
    </row>
    <row r="25" spans="2:24">
      <c r="B25" s="86"/>
      <c r="C25" s="91"/>
      <c r="D25" s="451"/>
      <c r="E25" s="86"/>
      <c r="F25" s="86"/>
      <c r="G25" s="26"/>
      <c r="H25" s="474"/>
      <c r="I25" s="474"/>
      <c r="J25" s="474"/>
      <c r="K25" s="474"/>
      <c r="L25" s="474"/>
      <c r="M25" s="474"/>
      <c r="N25" s="474"/>
      <c r="O25" s="474"/>
      <c r="P25" s="474"/>
      <c r="Q25" s="474"/>
      <c r="R25" s="474"/>
      <c r="S25" s="474"/>
      <c r="T25" s="474"/>
      <c r="U25" s="474"/>
      <c r="V25" s="474"/>
      <c r="W25" s="474"/>
      <c r="X25" s="27">
        <f t="shared" si="0"/>
        <v>0</v>
      </c>
    </row>
    <row r="26" spans="2:24">
      <c r="B26" s="463"/>
      <c r="C26" s="466"/>
      <c r="D26" s="469"/>
      <c r="E26" s="194"/>
      <c r="F26" s="194"/>
      <c r="G26" s="26"/>
      <c r="H26" s="474"/>
      <c r="I26" s="474"/>
      <c r="J26" s="474"/>
      <c r="K26" s="474"/>
      <c r="L26" s="474"/>
      <c r="M26" s="474"/>
      <c r="N26" s="474"/>
      <c r="O26" s="474"/>
      <c r="P26" s="474"/>
      <c r="Q26" s="474"/>
      <c r="R26" s="474"/>
      <c r="S26" s="474"/>
      <c r="T26" s="474"/>
      <c r="U26" s="474"/>
      <c r="V26" s="474"/>
      <c r="W26" s="474"/>
      <c r="X26" s="27">
        <f t="shared" si="0"/>
        <v>0</v>
      </c>
    </row>
    <row r="27" spans="2:24">
      <c r="B27" s="158"/>
      <c r="C27" s="158"/>
      <c r="D27" s="158" t="s">
        <v>324</v>
      </c>
      <c r="E27" s="158"/>
      <c r="F27" s="158"/>
      <c r="G27" s="470"/>
      <c r="H27" s="357">
        <f>SUM(H10:H26)</f>
        <v>891062236.70270276</v>
      </c>
      <c r="I27" s="357">
        <f t="shared" ref="I27:X27" si="4">SUM(I10:I26)</f>
        <v>0</v>
      </c>
      <c r="J27" s="357">
        <f t="shared" si="4"/>
        <v>0</v>
      </c>
      <c r="K27" s="357">
        <f t="shared" si="4"/>
        <v>0</v>
      </c>
      <c r="L27" s="357">
        <f t="shared" si="4"/>
        <v>276735094</v>
      </c>
      <c r="M27" s="357">
        <f t="shared" si="4"/>
        <v>0</v>
      </c>
      <c r="N27" s="357">
        <f t="shared" si="4"/>
        <v>292843064.05405402</v>
      </c>
      <c r="O27" s="357">
        <f t="shared" si="4"/>
        <v>0</v>
      </c>
      <c r="P27" s="357">
        <f t="shared" si="4"/>
        <v>0</v>
      </c>
      <c r="Q27" s="357">
        <f t="shared" si="4"/>
        <v>0</v>
      </c>
      <c r="R27" s="357">
        <f t="shared" si="4"/>
        <v>0</v>
      </c>
      <c r="S27" s="357">
        <f t="shared" si="4"/>
        <v>37750000</v>
      </c>
      <c r="T27" s="357">
        <f t="shared" si="4"/>
        <v>0</v>
      </c>
      <c r="U27" s="357">
        <f t="shared" si="4"/>
        <v>80882500</v>
      </c>
      <c r="V27" s="357">
        <f t="shared" si="4"/>
        <v>0</v>
      </c>
      <c r="W27" s="357">
        <f t="shared" si="4"/>
        <v>0</v>
      </c>
      <c r="X27" s="357">
        <f t="shared" si="4"/>
        <v>1579272894.7567568</v>
      </c>
    </row>
    <row r="28" spans="2:24">
      <c r="D28" s="21"/>
      <c r="E28" s="21"/>
      <c r="F28" s="21"/>
      <c r="G28" s="31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24">
      <c r="D29" s="21"/>
      <c r="E29" s="21"/>
      <c r="F29" s="21"/>
      <c r="G29" s="31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24" ht="22.5">
      <c r="B30" s="381"/>
      <c r="C30" s="468"/>
      <c r="D30" s="41" t="s">
        <v>325</v>
      </c>
      <c r="E30" s="41"/>
      <c r="F30" s="41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2:24">
      <c r="D31" s="156"/>
      <c r="E31" s="287"/>
      <c r="F31" s="287"/>
      <c r="G31" s="26"/>
      <c r="H31" s="28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spans="2:24">
      <c r="D32" s="156"/>
      <c r="E32" s="287"/>
      <c r="F32" s="287"/>
      <c r="G32" s="26"/>
      <c r="H32" s="28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4:24">
      <c r="D33" s="156"/>
      <c r="E33" s="287"/>
      <c r="F33" s="287"/>
      <c r="G33" s="26"/>
      <c r="H33" s="28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spans="4:24">
      <c r="D34" s="86"/>
      <c r="E34" s="194"/>
      <c r="F34" s="194"/>
      <c r="G34" s="26"/>
      <c r="H34" s="28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4:24">
      <c r="D35" s="86"/>
      <c r="E35" s="194"/>
      <c r="F35" s="194"/>
      <c r="G35" s="26"/>
      <c r="H35" s="28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4:24" ht="22.5">
      <c r="D36" s="157" t="s">
        <v>326</v>
      </c>
      <c r="E36" s="288"/>
      <c r="F36" s="288"/>
      <c r="G36" s="29"/>
      <c r="H36" s="30">
        <v>0</v>
      </c>
      <c r="I36" s="30">
        <v>0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4:24">
      <c r="D37" s="109"/>
      <c r="E37" s="109"/>
      <c r="F37" s="109"/>
      <c r="G37" s="110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 spans="4:24">
      <c r="D38" s="21"/>
      <c r="E38" s="21"/>
      <c r="F38" s="21"/>
      <c r="G38" s="31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4:24" ht="22.5">
      <c r="D39" s="23" t="s">
        <v>327</v>
      </c>
      <c r="E39" s="41"/>
      <c r="F39" s="41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4:24">
      <c r="D40" s="86" t="s">
        <v>328</v>
      </c>
      <c r="E40" s="194"/>
      <c r="F40" s="194"/>
      <c r="G40" s="26"/>
      <c r="H40" s="28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4:24">
      <c r="D41" s="156"/>
      <c r="E41" s="287"/>
      <c r="F41" s="287"/>
      <c r="G41" s="26"/>
      <c r="H41" s="28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4:24">
      <c r="D42" s="156"/>
      <c r="E42" s="287"/>
      <c r="F42" s="287"/>
      <c r="G42" s="26"/>
      <c r="H42" s="28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4:24">
      <c r="D43" s="156"/>
      <c r="E43" s="287"/>
      <c r="F43" s="287"/>
      <c r="G43" s="26"/>
      <c r="H43" s="28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4:24">
      <c r="D44" s="156"/>
      <c r="E44" s="287"/>
      <c r="F44" s="287"/>
      <c r="G44" s="26"/>
      <c r="H44" s="28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4:24">
      <c r="D45" s="156"/>
      <c r="E45" s="287"/>
      <c r="F45" s="287"/>
      <c r="G45" s="26"/>
      <c r="H45" s="28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4:24">
      <c r="D46" s="156"/>
      <c r="E46" s="287"/>
      <c r="F46" s="287"/>
      <c r="G46" s="26"/>
      <c r="H46" s="28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4:24">
      <c r="D47" s="86"/>
      <c r="E47" s="194"/>
      <c r="F47" s="194"/>
      <c r="G47" s="26"/>
      <c r="H47" s="28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4:24" ht="22.5">
      <c r="D48" s="157" t="s">
        <v>329</v>
      </c>
      <c r="E48" s="288"/>
      <c r="F48" s="288"/>
      <c r="G48" s="29"/>
      <c r="H48" s="30">
        <v>0</v>
      </c>
      <c r="I48" s="30">
        <v>0</v>
      </c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spans="1:24">
      <c r="D49" s="109"/>
      <c r="E49" s="109"/>
      <c r="F49" s="109"/>
      <c r="G49" s="110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</row>
    <row r="50" spans="1:24">
      <c r="D50" s="21"/>
      <c r="E50" s="21"/>
      <c r="F50" s="21"/>
      <c r="G50" s="31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2.75">
      <c r="C51" s="34" t="s">
        <v>330</v>
      </c>
      <c r="D51" s="5" t="s">
        <v>331</v>
      </c>
      <c r="E51" s="289"/>
      <c r="F51" s="289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24" ht="25.5">
      <c r="C52" s="283" t="s">
        <v>332</v>
      </c>
      <c r="D52" s="283" t="s">
        <v>333</v>
      </c>
      <c r="E52" s="292">
        <v>135720000</v>
      </c>
      <c r="F52" s="294">
        <f>80%*E52</f>
        <v>108576000</v>
      </c>
      <c r="G52" s="285" t="s">
        <v>334</v>
      </c>
      <c r="H52" s="87"/>
      <c r="I52" s="87"/>
      <c r="J52" s="87"/>
      <c r="K52" s="87">
        <f>80%*F52</f>
        <v>86860800</v>
      </c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</row>
    <row r="53" spans="1:24" ht="51">
      <c r="C53" s="283" t="s">
        <v>335</v>
      </c>
      <c r="D53" s="283" t="s">
        <v>336</v>
      </c>
      <c r="E53" s="293">
        <v>326072376</v>
      </c>
      <c r="F53" s="294">
        <f>80%*E53</f>
        <v>260857900.80000001</v>
      </c>
      <c r="G53" s="285" t="s">
        <v>337</v>
      </c>
      <c r="H53" s="87"/>
      <c r="I53" s="87"/>
      <c r="J53" s="87"/>
      <c r="K53" s="87">
        <f>80%*F53</f>
        <v>208686320.64000002</v>
      </c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</row>
    <row r="54" spans="1:24" ht="25.5">
      <c r="C54" s="283" t="s">
        <v>338</v>
      </c>
      <c r="D54" s="283" t="s">
        <v>339</v>
      </c>
      <c r="E54" s="292">
        <v>117450000</v>
      </c>
      <c r="F54" s="294">
        <f t="shared" ref="F54:F60" si="5">80%*E54</f>
        <v>93960000</v>
      </c>
      <c r="G54" s="285" t="s">
        <v>340</v>
      </c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>
        <f>80%*F54</f>
        <v>75168000</v>
      </c>
      <c r="U54" s="87"/>
      <c r="V54" s="87"/>
      <c r="W54" s="87"/>
      <c r="X54" s="87"/>
    </row>
    <row r="55" spans="1:24" ht="102">
      <c r="C55" s="283" t="s">
        <v>341</v>
      </c>
      <c r="D55" s="283" t="s">
        <v>342</v>
      </c>
      <c r="E55" s="292">
        <v>692533050</v>
      </c>
      <c r="F55" s="294">
        <f t="shared" si="5"/>
        <v>554026440</v>
      </c>
      <c r="G55" s="285" t="s">
        <v>343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</row>
    <row r="56" spans="1:24" ht="25.5">
      <c r="A56" s="160"/>
      <c r="B56" s="160"/>
      <c r="C56" s="283" t="s">
        <v>344</v>
      </c>
      <c r="D56" s="283" t="s">
        <v>345</v>
      </c>
      <c r="E56" s="293">
        <v>1131000000</v>
      </c>
      <c r="F56" s="294">
        <f t="shared" si="5"/>
        <v>904800000</v>
      </c>
      <c r="G56" s="285" t="s">
        <v>346</v>
      </c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</row>
    <row r="57" spans="1:24" ht="38.25">
      <c r="C57" s="283" t="s">
        <v>347</v>
      </c>
      <c r="D57" s="283" t="s">
        <v>348</v>
      </c>
      <c r="E57" s="293">
        <v>813960000</v>
      </c>
      <c r="F57" s="294">
        <f t="shared" si="5"/>
        <v>651168000</v>
      </c>
      <c r="G57" s="285" t="s">
        <v>349</v>
      </c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</row>
    <row r="58" spans="1:24" ht="38.25">
      <c r="C58" s="283" t="s">
        <v>350</v>
      </c>
      <c r="D58" s="283" t="s">
        <v>351</v>
      </c>
      <c r="E58" s="292">
        <v>778219002</v>
      </c>
      <c r="F58" s="294">
        <f t="shared" si="5"/>
        <v>622575201.60000002</v>
      </c>
      <c r="G58" s="285" t="s">
        <v>352</v>
      </c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</row>
    <row r="59" spans="1:24" ht="51">
      <c r="C59" s="283" t="s">
        <v>353</v>
      </c>
      <c r="D59" s="283" t="s">
        <v>354</v>
      </c>
      <c r="E59" s="293">
        <v>920550000</v>
      </c>
      <c r="F59" s="294">
        <f t="shared" si="5"/>
        <v>736440000</v>
      </c>
      <c r="G59" s="285" t="s">
        <v>355</v>
      </c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</row>
    <row r="60" spans="1:24" ht="38.25">
      <c r="C60" s="284" t="s">
        <v>356</v>
      </c>
      <c r="D60" s="284" t="s">
        <v>357</v>
      </c>
      <c r="E60" s="293">
        <v>147900000</v>
      </c>
      <c r="F60" s="294">
        <f t="shared" si="5"/>
        <v>118320000</v>
      </c>
      <c r="G60" s="286" t="s">
        <v>358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>
        <f>F60/3</f>
        <v>39440000</v>
      </c>
      <c r="S60" s="87"/>
      <c r="T60" s="87"/>
      <c r="U60" s="87"/>
      <c r="V60" s="87"/>
      <c r="W60" s="87"/>
      <c r="X60" s="87"/>
    </row>
    <row r="61" spans="1:24">
      <c r="C61" s="86"/>
      <c r="D61" s="26"/>
      <c r="E61" s="26"/>
      <c r="F61" s="26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</row>
    <row r="62" spans="1:24">
      <c r="D62" s="86" t="s">
        <v>162</v>
      </c>
      <c r="E62" s="194"/>
      <c r="F62" s="194"/>
      <c r="G62" s="2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 spans="1:24" ht="33.75">
      <c r="D63" s="158" t="s">
        <v>359</v>
      </c>
      <c r="E63" s="290"/>
      <c r="F63" s="290"/>
      <c r="G63" s="37"/>
      <c r="H63" s="38">
        <f t="shared" ref="H63:X63" si="6">SUM(H52:H62)</f>
        <v>0</v>
      </c>
      <c r="I63" s="38">
        <f t="shared" si="6"/>
        <v>0</v>
      </c>
      <c r="J63" s="38">
        <f t="shared" si="6"/>
        <v>0</v>
      </c>
      <c r="K63" s="38">
        <f t="shared" si="6"/>
        <v>295547120.63999999</v>
      </c>
      <c r="L63" s="38">
        <f t="shared" si="6"/>
        <v>0</v>
      </c>
      <c r="M63" s="38">
        <f t="shared" si="6"/>
        <v>0</v>
      </c>
      <c r="N63" s="38">
        <f t="shared" si="6"/>
        <v>0</v>
      </c>
      <c r="O63" s="38">
        <f t="shared" si="6"/>
        <v>0</v>
      </c>
      <c r="P63" s="38">
        <f t="shared" si="6"/>
        <v>0</v>
      </c>
      <c r="Q63" s="38">
        <f t="shared" si="6"/>
        <v>0</v>
      </c>
      <c r="R63" s="38">
        <f t="shared" si="6"/>
        <v>39440000</v>
      </c>
      <c r="S63" s="38">
        <f t="shared" si="6"/>
        <v>0</v>
      </c>
      <c r="T63" s="38">
        <f t="shared" si="6"/>
        <v>75168000</v>
      </c>
      <c r="U63" s="38">
        <f t="shared" si="6"/>
        <v>0</v>
      </c>
      <c r="V63" s="38">
        <f t="shared" si="6"/>
        <v>0</v>
      </c>
      <c r="W63" s="38">
        <f t="shared" si="6"/>
        <v>0</v>
      </c>
      <c r="X63" s="38">
        <f t="shared" si="6"/>
        <v>0</v>
      </c>
    </row>
    <row r="64" spans="1:24">
      <c r="D64" s="21"/>
      <c r="E64" s="21"/>
      <c r="F64" s="2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 spans="4:24">
      <c r="D65" s="21"/>
      <c r="E65" s="21"/>
      <c r="F65" s="2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 spans="4:24" ht="12.75">
      <c r="D66" s="21"/>
      <c r="E66" s="21"/>
      <c r="F66" s="21"/>
      <c r="G66" s="4" t="s">
        <v>118</v>
      </c>
      <c r="H66" s="151">
        <v>44711</v>
      </c>
      <c r="I66" s="151">
        <v>44712</v>
      </c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</row>
  </sheetData>
  <conditionalFormatting sqref="H7:X7">
    <cfRule type="cellIs" dxfId="0" priority="25" stopIfTrue="1" operator="lessThanOrEqual">
      <formula>$E$2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2675-1411-4068-8A49-D1252AFEE506}">
  <sheetPr codeName="Sheet7">
    <tabColor theme="0"/>
  </sheetPr>
  <dimension ref="A1:FS103"/>
  <sheetViews>
    <sheetView topLeftCell="A4" zoomScale="90" zoomScaleNormal="90" workbookViewId="0">
      <pane xSplit="6" ySplit="6" topLeftCell="R100" activePane="bottomRight" state="frozen"/>
      <selection pane="topRight" activeCell="E4" sqref="E4"/>
      <selection pane="bottomLeft" activeCell="A41" sqref="A41"/>
      <selection pane="bottomRight" activeCell="N103" sqref="N103"/>
    </sheetView>
  </sheetViews>
  <sheetFormatPr defaultColWidth="8" defaultRowHeight="26.45" customHeight="1"/>
  <cols>
    <col min="1" max="1" width="8.85546875" style="39" customWidth="1"/>
    <col min="2" max="2" width="14.140625" style="39" customWidth="1"/>
    <col min="3" max="3" width="25" style="497" customWidth="1"/>
    <col min="4" max="4" width="17.5703125" style="498" customWidth="1"/>
    <col min="5" max="5" width="13" style="498" hidden="1" customWidth="1"/>
    <col min="6" max="6" width="16.5703125" style="499" customWidth="1"/>
    <col min="7" max="7" width="20.7109375" style="39" customWidth="1"/>
    <col min="8" max="11" width="13.7109375" style="39" customWidth="1"/>
    <col min="12" max="12" width="15.42578125" style="39" customWidth="1"/>
    <col min="13" max="60" width="13.7109375" style="39" customWidth="1"/>
    <col min="61" max="61" width="16.28515625" style="39" customWidth="1"/>
    <col min="62" max="74" width="13.7109375" style="39" customWidth="1"/>
    <col min="75" max="75" width="16.140625" style="39" customWidth="1"/>
    <col min="76" max="88" width="13.7109375" style="39" customWidth="1"/>
    <col min="89" max="89" width="18.5703125" style="39" customWidth="1"/>
    <col min="90" max="93" width="13.7109375" style="39" customWidth="1"/>
    <col min="94" max="94" width="13.7109375" style="588" customWidth="1"/>
    <col min="95" max="98" width="13.7109375" style="39" customWidth="1"/>
    <col min="99" max="101" width="13.7109375" style="588" customWidth="1"/>
    <col min="102" max="102" width="16.5703125" style="588" customWidth="1"/>
    <col min="103" max="103" width="13.5703125" style="588" customWidth="1"/>
    <col min="104" max="104" width="12" style="588" bestFit="1" customWidth="1"/>
    <col min="105" max="105" width="8" style="588"/>
    <col min="106" max="106" width="10.85546875" style="588" customWidth="1"/>
    <col min="107" max="107" width="8" style="588"/>
    <col min="108" max="108" width="13.28515625" style="588" customWidth="1"/>
    <col min="109" max="111" width="8" style="588"/>
    <col min="112" max="174" width="15.140625" style="588" customWidth="1"/>
    <col min="175" max="175" width="16.28515625" style="588" customWidth="1"/>
    <col min="176" max="16384" width="8" style="588"/>
  </cols>
  <sheetData>
    <row r="1" spans="1:175" s="39" customFormat="1" ht="26.45" customHeight="1">
      <c r="A1" s="15"/>
      <c r="B1" s="15"/>
      <c r="C1" s="275"/>
      <c r="D1" s="303"/>
      <c r="E1" s="303"/>
      <c r="F1" s="298"/>
      <c r="G1" s="12" t="s">
        <v>166</v>
      </c>
      <c r="H1" s="14" t="s">
        <v>108</v>
      </c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590"/>
      <c r="Z1" s="590"/>
      <c r="AA1" s="590"/>
      <c r="AB1" s="590"/>
      <c r="AC1" s="590"/>
      <c r="AD1" s="590"/>
      <c r="AE1" s="590"/>
      <c r="AF1" s="590"/>
      <c r="AG1" s="590"/>
      <c r="AH1" s="590"/>
      <c r="AI1" s="590"/>
      <c r="AJ1" s="590"/>
      <c r="AK1" s="590"/>
      <c r="AL1" s="590"/>
      <c r="AM1" s="590"/>
      <c r="AN1" s="590"/>
      <c r="AO1" s="590"/>
      <c r="AP1" s="590"/>
      <c r="AQ1" s="590"/>
      <c r="AR1" s="590"/>
      <c r="AS1" s="590"/>
      <c r="AT1" s="590"/>
      <c r="AU1" s="590"/>
      <c r="AV1" s="590"/>
      <c r="AW1" s="590"/>
      <c r="AX1" s="590"/>
      <c r="AY1" s="590"/>
      <c r="AZ1" s="590"/>
      <c r="BA1" s="590"/>
      <c r="BB1" s="590"/>
      <c r="BC1" s="590"/>
      <c r="BD1" s="590"/>
      <c r="BE1" s="590"/>
      <c r="BF1" s="590"/>
      <c r="BG1" s="590"/>
      <c r="BH1" s="590"/>
      <c r="BI1" s="590"/>
      <c r="BJ1" s="590"/>
      <c r="BK1" s="590"/>
      <c r="BL1" s="590"/>
      <c r="BM1" s="590"/>
      <c r="BN1" s="590"/>
      <c r="BO1" s="590"/>
      <c r="BP1" s="590"/>
      <c r="BQ1" s="590"/>
      <c r="BR1" s="590"/>
      <c r="BS1" s="590"/>
      <c r="BT1" s="590"/>
      <c r="BU1" s="590"/>
      <c r="BV1" s="590"/>
      <c r="BW1" s="590"/>
      <c r="BX1" s="590"/>
      <c r="BY1" s="590"/>
      <c r="BZ1" s="590"/>
      <c r="CA1" s="590"/>
      <c r="CB1" s="590"/>
      <c r="CC1" s="590"/>
      <c r="CD1" s="590"/>
      <c r="CE1" s="590"/>
      <c r="CF1" s="590"/>
      <c r="CG1" s="590"/>
      <c r="CH1" s="590"/>
      <c r="CI1" s="590"/>
      <c r="CJ1" s="590"/>
      <c r="CK1" s="590"/>
      <c r="CL1" s="590"/>
      <c r="CM1" s="590"/>
      <c r="CN1" s="590"/>
      <c r="CO1" s="590"/>
      <c r="CP1" s="590"/>
      <c r="CQ1" s="590"/>
      <c r="CR1" s="590"/>
      <c r="CS1" s="590"/>
      <c r="CT1" s="590"/>
      <c r="CU1" s="590"/>
      <c r="CV1" s="590"/>
      <c r="CW1" s="590"/>
      <c r="CX1" s="591"/>
    </row>
    <row r="2" spans="1:175" s="39" customFormat="1" ht="26.45" customHeight="1">
      <c r="A2" s="15"/>
      <c r="B2" s="15"/>
      <c r="C2" s="275"/>
      <c r="D2" s="303"/>
      <c r="E2" s="303"/>
      <c r="F2" s="298"/>
      <c r="G2" s="18" t="s">
        <v>360</v>
      </c>
      <c r="H2" s="14" t="s">
        <v>110</v>
      </c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590"/>
      <c r="Z2" s="590"/>
      <c r="AA2" s="590"/>
      <c r="AB2" s="590"/>
      <c r="AC2" s="590"/>
      <c r="AD2" s="590"/>
      <c r="AE2" s="590"/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0"/>
      <c r="AR2" s="590"/>
      <c r="AS2" s="590"/>
      <c r="AT2" s="590"/>
      <c r="AU2" s="590"/>
      <c r="AV2" s="590"/>
      <c r="AW2" s="590"/>
      <c r="AX2" s="590"/>
      <c r="AY2" s="590"/>
      <c r="AZ2" s="590"/>
      <c r="BA2" s="590"/>
      <c r="BB2" s="590"/>
      <c r="BC2" s="590"/>
      <c r="BD2" s="590"/>
      <c r="BE2" s="590"/>
      <c r="BF2" s="590"/>
      <c r="BG2" s="590"/>
      <c r="BH2" s="590"/>
      <c r="BI2" s="590"/>
      <c r="BJ2" s="590"/>
      <c r="BK2" s="590"/>
      <c r="BL2" s="590"/>
      <c r="BM2" s="590"/>
      <c r="BN2" s="590"/>
      <c r="BO2" s="590"/>
      <c r="BP2" s="590"/>
      <c r="BQ2" s="590"/>
      <c r="BR2" s="590"/>
      <c r="BS2" s="590"/>
      <c r="BT2" s="590"/>
      <c r="BU2" s="590"/>
      <c r="BV2" s="590"/>
      <c r="BW2" s="590"/>
      <c r="BX2" s="590"/>
      <c r="BY2" s="590"/>
      <c r="BZ2" s="590"/>
      <c r="CA2" s="590"/>
      <c r="CB2" s="590"/>
      <c r="CC2" s="590"/>
      <c r="CD2" s="590"/>
      <c r="CE2" s="590"/>
      <c r="CF2" s="590"/>
      <c r="CG2" s="590"/>
      <c r="CH2" s="590"/>
      <c r="CI2" s="590"/>
      <c r="CJ2" s="590"/>
      <c r="CK2" s="590"/>
      <c r="CL2" s="590"/>
      <c r="CM2" s="590"/>
      <c r="CN2" s="590"/>
      <c r="CO2" s="590"/>
      <c r="CP2" s="590"/>
      <c r="CQ2" s="590"/>
      <c r="CR2" s="590"/>
      <c r="CS2" s="590"/>
      <c r="CT2" s="590"/>
      <c r="CU2" s="590"/>
      <c r="CV2" s="590"/>
      <c r="CW2" s="590"/>
      <c r="CX2" s="591"/>
    </row>
    <row r="3" spans="1:175" s="39" customFormat="1" ht="26.45" customHeight="1">
      <c r="A3" s="15"/>
      <c r="B3" s="15"/>
      <c r="C3" s="275"/>
      <c r="D3" s="303"/>
      <c r="E3" s="303"/>
      <c r="F3" s="298"/>
      <c r="G3" s="18"/>
      <c r="H3" s="14" t="s">
        <v>112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CX3" s="577"/>
    </row>
    <row r="4" spans="1:175" s="307" customFormat="1" ht="18.600000000000001" customHeight="1">
      <c r="A4" s="12"/>
      <c r="B4" s="12"/>
      <c r="C4" s="275"/>
      <c r="D4" s="305"/>
      <c r="E4" s="305"/>
      <c r="F4" s="354" t="s">
        <v>106</v>
      </c>
      <c r="G4" s="12" t="s">
        <v>166</v>
      </c>
      <c r="H4" s="150"/>
      <c r="I4" s="14" t="s">
        <v>108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CX4" s="581"/>
    </row>
    <row r="5" spans="1:175" s="307" customFormat="1" ht="18.600000000000001" customHeight="1">
      <c r="A5" s="12"/>
      <c r="B5" s="12"/>
      <c r="C5" s="275"/>
      <c r="D5" s="305"/>
      <c r="E5" s="305"/>
      <c r="F5" s="354" t="s">
        <v>109</v>
      </c>
      <c r="G5" s="355" t="s">
        <v>361</v>
      </c>
      <c r="H5" s="151"/>
      <c r="I5" s="14" t="s">
        <v>110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CX5" s="581"/>
    </row>
    <row r="6" spans="1:175" s="307" customFormat="1" ht="18.600000000000001" customHeight="1">
      <c r="A6" s="12"/>
      <c r="B6" s="12"/>
      <c r="C6" s="275"/>
      <c r="D6" s="305"/>
      <c r="E6" s="305"/>
      <c r="F6" s="354" t="s">
        <v>111</v>
      </c>
      <c r="G6" s="18"/>
      <c r="H6" s="152"/>
      <c r="I6" s="14" t="s">
        <v>112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CX6" s="581"/>
    </row>
    <row r="7" spans="1:175" s="307" customFormat="1" ht="18.600000000000001" customHeight="1">
      <c r="A7" s="12"/>
      <c r="B7" s="12"/>
      <c r="C7" s="275"/>
      <c r="D7" s="305"/>
      <c r="E7" s="305"/>
      <c r="F7" s="354" t="s">
        <v>113</v>
      </c>
      <c r="G7" s="175">
        <f>'OUT - HR - Gaji &amp; Benefit'!C4</f>
        <v>45947</v>
      </c>
      <c r="H7" s="12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592"/>
      <c r="Z7" s="592"/>
      <c r="AA7" s="592"/>
      <c r="AB7" s="592"/>
      <c r="AC7" s="592"/>
      <c r="AD7" s="592"/>
      <c r="AE7" s="592"/>
      <c r="AF7" s="592"/>
      <c r="AG7" s="592"/>
      <c r="AH7" s="592"/>
      <c r="AI7" s="592"/>
      <c r="AJ7" s="592"/>
      <c r="AK7" s="592"/>
      <c r="AL7" s="592"/>
      <c r="AM7" s="592"/>
      <c r="AN7" s="592"/>
      <c r="AO7" s="592"/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81"/>
    </row>
    <row r="8" spans="1:175" s="39" customFormat="1" ht="26.45" customHeight="1">
      <c r="A8" s="187"/>
      <c r="B8" s="187"/>
      <c r="C8" s="276"/>
      <c r="D8" s="304"/>
      <c r="E8" s="304"/>
      <c r="F8" s="299"/>
      <c r="G8" s="187"/>
      <c r="H8" s="496" t="s">
        <v>8</v>
      </c>
      <c r="I8" s="350" t="s">
        <v>9</v>
      </c>
      <c r="J8" s="350" t="s">
        <v>10</v>
      </c>
      <c r="K8" s="295" t="s">
        <v>11</v>
      </c>
      <c r="L8" s="353" t="s">
        <v>12</v>
      </c>
      <c r="M8" s="295" t="s">
        <v>13</v>
      </c>
      <c r="N8" s="353" t="s">
        <v>14</v>
      </c>
      <c r="O8" s="496" t="s">
        <v>8</v>
      </c>
      <c r="P8" s="350" t="s">
        <v>9</v>
      </c>
      <c r="Q8" s="350" t="s">
        <v>10</v>
      </c>
      <c r="R8" s="295" t="s">
        <v>11</v>
      </c>
      <c r="S8" s="353" t="s">
        <v>12</v>
      </c>
      <c r="T8" s="295" t="s">
        <v>13</v>
      </c>
      <c r="U8" s="353" t="s">
        <v>14</v>
      </c>
      <c r="V8" s="496" t="s">
        <v>8</v>
      </c>
      <c r="W8" s="350" t="s">
        <v>9</v>
      </c>
      <c r="X8" s="1"/>
    </row>
    <row r="9" spans="1:175" s="39" customFormat="1" ht="26.45" customHeight="1">
      <c r="A9" s="349"/>
      <c r="B9" s="465" t="s">
        <v>362</v>
      </c>
      <c r="C9" s="372" t="s">
        <v>363</v>
      </c>
      <c r="D9" s="371" t="s">
        <v>117</v>
      </c>
      <c r="E9" s="371" t="s">
        <v>364</v>
      </c>
      <c r="F9" s="371" t="s">
        <v>201</v>
      </c>
      <c r="G9" s="301" t="s">
        <v>118</v>
      </c>
      <c r="H9" s="302">
        <v>45947</v>
      </c>
      <c r="I9" s="302">
        <v>45948</v>
      </c>
      <c r="J9" s="302">
        <v>45949</v>
      </c>
      <c r="K9" s="302">
        <v>45950</v>
      </c>
      <c r="L9" s="302">
        <v>45951</v>
      </c>
      <c r="M9" s="302">
        <v>45952</v>
      </c>
      <c r="N9" s="302">
        <v>45953</v>
      </c>
      <c r="O9" s="302">
        <v>45954</v>
      </c>
      <c r="P9" s="302">
        <v>45955</v>
      </c>
      <c r="Q9" s="302">
        <v>45956</v>
      </c>
      <c r="R9" s="302">
        <v>45957</v>
      </c>
      <c r="S9" s="302">
        <v>45958</v>
      </c>
      <c r="T9" s="302">
        <v>45959</v>
      </c>
      <c r="U9" s="302">
        <v>45960</v>
      </c>
      <c r="V9" s="302">
        <v>45961</v>
      </c>
      <c r="W9" s="302">
        <v>45962</v>
      </c>
      <c r="X9" s="483" t="s">
        <v>28</v>
      </c>
    </row>
    <row r="10" spans="1:175" s="511" customFormat="1" ht="26.45" customHeight="1">
      <c r="A10" s="510"/>
      <c r="B10" s="611" t="s">
        <v>365</v>
      </c>
      <c r="C10" s="612" t="s">
        <v>366</v>
      </c>
      <c r="D10" s="613">
        <v>25025510</v>
      </c>
      <c r="F10" s="626">
        <v>45951</v>
      </c>
      <c r="G10" s="512"/>
      <c r="H10" s="150"/>
      <c r="I10" s="302"/>
      <c r="J10" s="150"/>
      <c r="K10" s="690"/>
      <c r="L10" s="684">
        <f>D10</f>
        <v>25025510</v>
      </c>
      <c r="M10" s="492"/>
      <c r="N10" s="493"/>
      <c r="O10" s="513"/>
      <c r="P10" s="493"/>
      <c r="Q10" s="513"/>
      <c r="R10" s="493"/>
      <c r="S10" s="513"/>
      <c r="T10" s="493"/>
      <c r="U10" s="493"/>
      <c r="V10" s="513"/>
      <c r="W10" s="493"/>
      <c r="X10" s="694">
        <f t="shared" ref="X10:X41" si="0">SUM(H10:W10)</f>
        <v>25025510</v>
      </c>
      <c r="Y10" s="492"/>
      <c r="Z10" s="514"/>
      <c r="AA10" s="492"/>
      <c r="AB10" s="492"/>
      <c r="AC10" s="514"/>
      <c r="AD10" s="492"/>
      <c r="AE10" s="514"/>
      <c r="AF10" s="492"/>
      <c r="AG10" s="514"/>
      <c r="AH10" s="492"/>
      <c r="AI10" s="492"/>
      <c r="AJ10" s="514"/>
      <c r="AK10" s="492"/>
      <c r="AL10" s="514"/>
      <c r="AM10" s="492"/>
      <c r="AN10" s="514"/>
      <c r="AO10" s="492"/>
      <c r="AP10" s="492"/>
      <c r="AQ10" s="514"/>
      <c r="AR10" s="492"/>
      <c r="AS10" s="514"/>
      <c r="AT10" s="492"/>
      <c r="AU10" s="514"/>
      <c r="AV10" s="492"/>
      <c r="AW10" s="492"/>
      <c r="AX10" s="514"/>
      <c r="AY10" s="492"/>
      <c r="AZ10" s="514"/>
      <c r="BA10" s="492"/>
      <c r="BB10" s="514"/>
      <c r="BC10" s="492"/>
      <c r="BD10" s="492"/>
      <c r="BE10" s="514"/>
      <c r="BF10" s="492"/>
      <c r="BG10" s="514"/>
      <c r="BH10" s="492"/>
      <c r="BI10" s="514"/>
      <c r="BJ10" s="492"/>
      <c r="BK10" s="492"/>
      <c r="BL10" s="514"/>
      <c r="BM10" s="492"/>
      <c r="BN10" s="514"/>
      <c r="BO10" s="492"/>
      <c r="BP10" s="514"/>
      <c r="BQ10" s="492"/>
      <c r="BR10" s="492"/>
      <c r="BS10" s="514"/>
      <c r="BT10" s="492"/>
      <c r="BU10" s="514"/>
      <c r="BV10" s="492"/>
      <c r="BW10" s="514"/>
      <c r="BX10" s="492"/>
      <c r="BY10" s="492"/>
      <c r="BZ10" s="514"/>
      <c r="CA10" s="492"/>
      <c r="CB10" s="514"/>
      <c r="CC10" s="492"/>
      <c r="CD10" s="514"/>
      <c r="CE10" s="492"/>
      <c r="CF10" s="492"/>
      <c r="CG10" s="514"/>
      <c r="CH10" s="492"/>
      <c r="CI10" s="514"/>
      <c r="CJ10" s="492"/>
      <c r="CK10" s="586"/>
      <c r="CL10" s="492"/>
      <c r="CM10" s="492"/>
      <c r="CN10" s="514"/>
      <c r="CO10" s="492"/>
      <c r="CP10" s="514"/>
      <c r="CQ10" s="492"/>
      <c r="CR10" s="514"/>
      <c r="CS10" s="492"/>
      <c r="CT10" s="492"/>
      <c r="CU10" s="586"/>
      <c r="CV10" s="431"/>
      <c r="CW10" s="586"/>
      <c r="CX10" s="431"/>
      <c r="CY10" s="586"/>
      <c r="CZ10" s="431"/>
      <c r="DA10" s="431"/>
      <c r="DB10" s="586"/>
      <c r="DC10" s="431"/>
      <c r="DD10" s="586"/>
      <c r="DE10" s="431"/>
      <c r="DF10" s="586"/>
      <c r="DG10" s="431"/>
      <c r="DH10" s="431"/>
      <c r="DI10" s="431"/>
      <c r="DJ10" s="431"/>
      <c r="DK10" s="431"/>
      <c r="DL10" s="431"/>
      <c r="DM10" s="431"/>
      <c r="DN10" s="431"/>
      <c r="DO10" s="431"/>
      <c r="DP10" s="431"/>
      <c r="DQ10" s="431"/>
      <c r="DR10" s="431"/>
      <c r="DS10" s="431"/>
      <c r="DT10" s="431"/>
      <c r="DU10" s="431"/>
      <c r="DV10" s="431"/>
      <c r="DW10" s="431"/>
      <c r="DX10" s="431"/>
      <c r="DY10" s="431"/>
      <c r="DZ10" s="431"/>
      <c r="EA10" s="431"/>
      <c r="EB10" s="431"/>
      <c r="EC10" s="431"/>
      <c r="ED10" s="431"/>
      <c r="EE10" s="431"/>
      <c r="EF10" s="431"/>
      <c r="EG10" s="431"/>
      <c r="EH10" s="431"/>
      <c r="EI10" s="431"/>
      <c r="EJ10" s="431"/>
      <c r="EK10" s="431"/>
      <c r="EL10" s="431"/>
      <c r="EM10" s="431"/>
      <c r="EN10" s="431"/>
      <c r="EO10" s="431"/>
      <c r="EP10" s="431"/>
      <c r="EQ10" s="431"/>
      <c r="ER10" s="431"/>
      <c r="ES10" s="431"/>
      <c r="ET10" s="431"/>
      <c r="EU10" s="431"/>
      <c r="EV10" s="431"/>
      <c r="EW10" s="431"/>
      <c r="EX10" s="431"/>
      <c r="EY10" s="431"/>
      <c r="EZ10" s="431"/>
      <c r="FA10" s="431"/>
      <c r="FB10" s="431"/>
      <c r="FC10" s="431"/>
      <c r="FD10" s="431"/>
      <c r="FE10" s="431"/>
      <c r="FF10" s="431"/>
      <c r="FG10" s="431"/>
      <c r="FH10" s="431"/>
      <c r="FI10" s="431"/>
      <c r="FJ10" s="431"/>
      <c r="FK10" s="431"/>
      <c r="FL10" s="431"/>
      <c r="FM10" s="431"/>
      <c r="FN10" s="431"/>
      <c r="FO10" s="431"/>
      <c r="FP10" s="431"/>
      <c r="FQ10" s="431"/>
      <c r="FR10" s="431"/>
      <c r="FS10" s="587"/>
    </row>
    <row r="11" spans="1:175" s="511" customFormat="1" ht="26.45" customHeight="1">
      <c r="A11" s="510"/>
      <c r="B11" s="627" t="s">
        <v>367</v>
      </c>
      <c r="C11" s="628" t="s">
        <v>368</v>
      </c>
      <c r="D11" s="629">
        <v>6507500</v>
      </c>
      <c r="F11" s="626">
        <v>45951</v>
      </c>
      <c r="G11" s="512"/>
      <c r="H11" s="150"/>
      <c r="I11" s="302"/>
      <c r="J11" s="150"/>
      <c r="K11" s="690"/>
      <c r="L11" s="684">
        <f t="shared" ref="L11:L58" si="1">D11</f>
        <v>6507500</v>
      </c>
      <c r="M11" s="492"/>
      <c r="N11" s="493"/>
      <c r="O11" s="513"/>
      <c r="P11" s="493"/>
      <c r="Q11" s="513"/>
      <c r="R11" s="493"/>
      <c r="S11" s="513"/>
      <c r="T11" s="493"/>
      <c r="U11" s="493"/>
      <c r="V11" s="513"/>
      <c r="W11" s="493"/>
      <c r="X11" s="694">
        <f t="shared" si="0"/>
        <v>6507500</v>
      </c>
      <c r="Y11" s="492"/>
      <c r="Z11" s="514"/>
      <c r="AA11" s="492"/>
      <c r="AB11" s="492"/>
      <c r="AC11" s="514"/>
      <c r="AD11" s="492"/>
      <c r="AE11" s="514"/>
      <c r="AF11" s="492"/>
      <c r="AG11" s="514"/>
      <c r="AH11" s="492"/>
      <c r="AI11" s="492"/>
      <c r="AJ11" s="514"/>
      <c r="AK11" s="492"/>
      <c r="AL11" s="514"/>
      <c r="AM11" s="492"/>
      <c r="AN11" s="514"/>
      <c r="AO11" s="492"/>
      <c r="AP11" s="492"/>
      <c r="AQ11" s="514"/>
      <c r="AR11" s="492"/>
      <c r="AS11" s="514"/>
      <c r="AT11" s="492"/>
      <c r="AU11" s="514"/>
      <c r="AV11" s="492"/>
      <c r="AW11" s="492"/>
      <c r="AX11" s="514"/>
      <c r="AY11" s="492"/>
      <c r="AZ11" s="514"/>
      <c r="BA11" s="492"/>
      <c r="BB11" s="514"/>
      <c r="BC11" s="492"/>
      <c r="BD11" s="492"/>
      <c r="BE11" s="514"/>
      <c r="BF11" s="492"/>
      <c r="BG11" s="514"/>
      <c r="BH11" s="492"/>
      <c r="BI11" s="514"/>
      <c r="BJ11" s="492"/>
      <c r="BK11" s="492"/>
      <c r="BL11" s="514"/>
      <c r="BM11" s="492"/>
      <c r="BN11" s="514"/>
      <c r="BO11" s="492"/>
      <c r="BP11" s="514"/>
      <c r="BQ11" s="492"/>
      <c r="BR11" s="492"/>
      <c r="BS11" s="514"/>
      <c r="BT11" s="492"/>
      <c r="BU11" s="514"/>
      <c r="BV11" s="492"/>
      <c r="BW11" s="514"/>
      <c r="BX11" s="492"/>
      <c r="BY11" s="492"/>
      <c r="BZ11" s="514"/>
      <c r="CA11" s="492"/>
      <c r="CB11" s="514"/>
      <c r="CC11" s="492"/>
      <c r="CD11" s="514"/>
      <c r="CE11" s="492"/>
      <c r="CF11" s="492"/>
      <c r="CG11" s="514"/>
      <c r="CH11" s="492"/>
      <c r="CI11" s="514"/>
      <c r="CJ11" s="492"/>
      <c r="CK11" s="586"/>
      <c r="CL11" s="492"/>
      <c r="CM11" s="492"/>
      <c r="CN11" s="514"/>
      <c r="CO11" s="492"/>
      <c r="CP11" s="514"/>
      <c r="CQ11" s="492"/>
      <c r="CR11" s="514"/>
      <c r="CS11" s="492"/>
      <c r="CT11" s="492"/>
      <c r="CU11" s="586"/>
      <c r="CV11" s="431"/>
      <c r="CW11" s="586"/>
      <c r="CX11" s="431"/>
      <c r="CY11" s="586"/>
      <c r="CZ11" s="431"/>
      <c r="DA11" s="431"/>
      <c r="DB11" s="586"/>
      <c r="DC11" s="431"/>
      <c r="DD11" s="586"/>
      <c r="DE11" s="431"/>
      <c r="DF11" s="586"/>
      <c r="DG11" s="431"/>
      <c r="DH11" s="431"/>
      <c r="DI11" s="431"/>
      <c r="DJ11" s="431"/>
      <c r="DK11" s="431"/>
      <c r="DL11" s="431"/>
      <c r="DM11" s="431"/>
      <c r="DN11" s="431"/>
      <c r="DO11" s="431"/>
      <c r="DP11" s="431"/>
      <c r="DQ11" s="431"/>
      <c r="DR11" s="431"/>
      <c r="DS11" s="431"/>
      <c r="DT11" s="431"/>
      <c r="DU11" s="431"/>
      <c r="DV11" s="431"/>
      <c r="DW11" s="431"/>
      <c r="DX11" s="431"/>
      <c r="DY11" s="431"/>
      <c r="DZ11" s="431"/>
      <c r="EA11" s="431"/>
      <c r="EB11" s="431"/>
      <c r="EC11" s="431"/>
      <c r="ED11" s="431"/>
      <c r="EE11" s="431"/>
      <c r="EF11" s="431"/>
      <c r="EG11" s="431"/>
      <c r="EH11" s="431"/>
      <c r="EI11" s="431"/>
      <c r="EJ11" s="431"/>
      <c r="EK11" s="431"/>
      <c r="EL11" s="431"/>
      <c r="EM11" s="431"/>
      <c r="EN11" s="431"/>
      <c r="EO11" s="431"/>
      <c r="EP11" s="431"/>
      <c r="EQ11" s="431"/>
      <c r="ER11" s="431"/>
      <c r="ES11" s="431"/>
      <c r="ET11" s="431"/>
      <c r="EU11" s="431"/>
      <c r="EV11" s="431"/>
      <c r="EW11" s="431"/>
      <c r="EX11" s="431"/>
      <c r="EY11" s="431"/>
      <c r="EZ11" s="431"/>
      <c r="FA11" s="431"/>
      <c r="FB11" s="431"/>
      <c r="FC11" s="431"/>
      <c r="FD11" s="431"/>
      <c r="FE11" s="431"/>
      <c r="FF11" s="431"/>
      <c r="FG11" s="431"/>
      <c r="FH11" s="431"/>
      <c r="FI11" s="431"/>
      <c r="FJ11" s="431"/>
      <c r="FK11" s="431"/>
      <c r="FL11" s="431"/>
      <c r="FM11" s="431"/>
      <c r="FN11" s="431"/>
      <c r="FO11" s="431"/>
      <c r="FP11" s="431"/>
      <c r="FQ11" s="431"/>
      <c r="FR11" s="431"/>
      <c r="FS11" s="587"/>
    </row>
    <row r="12" spans="1:175" s="511" customFormat="1" ht="26.45" customHeight="1">
      <c r="A12" s="510"/>
      <c r="B12" s="616" t="s">
        <v>369</v>
      </c>
      <c r="C12" s="624" t="s">
        <v>370</v>
      </c>
      <c r="D12" s="613">
        <v>38424516</v>
      </c>
      <c r="F12" s="626">
        <v>45951</v>
      </c>
      <c r="G12" s="512"/>
      <c r="H12" s="150"/>
      <c r="I12" s="302"/>
      <c r="J12" s="150"/>
      <c r="K12" s="690"/>
      <c r="L12" s="684">
        <f t="shared" si="1"/>
        <v>38424516</v>
      </c>
      <c r="M12" s="492"/>
      <c r="N12" s="493"/>
      <c r="O12" s="513"/>
      <c r="P12" s="493"/>
      <c r="Q12" s="513"/>
      <c r="R12" s="493"/>
      <c r="S12" s="513"/>
      <c r="T12" s="493"/>
      <c r="U12" s="493"/>
      <c r="V12" s="513"/>
      <c r="W12" s="493"/>
      <c r="X12" s="694">
        <f t="shared" si="0"/>
        <v>38424516</v>
      </c>
      <c r="Y12" s="492"/>
      <c r="Z12" s="514"/>
      <c r="AA12" s="492"/>
      <c r="AB12" s="492"/>
      <c r="AC12" s="514"/>
      <c r="AD12" s="492"/>
      <c r="AE12" s="514"/>
      <c r="AF12" s="492"/>
      <c r="AG12" s="514"/>
      <c r="AH12" s="492"/>
      <c r="AI12" s="492"/>
      <c r="AJ12" s="514"/>
      <c r="AK12" s="492"/>
      <c r="AL12" s="514"/>
      <c r="AM12" s="492"/>
      <c r="AN12" s="514"/>
      <c r="AO12" s="492"/>
      <c r="AP12" s="492"/>
      <c r="AQ12" s="514"/>
      <c r="AR12" s="492"/>
      <c r="AS12" s="514"/>
      <c r="AT12" s="492"/>
      <c r="AU12" s="514"/>
      <c r="AV12" s="492"/>
      <c r="AW12" s="492"/>
      <c r="AX12" s="514"/>
      <c r="AY12" s="492"/>
      <c r="AZ12" s="514"/>
      <c r="BA12" s="492"/>
      <c r="BB12" s="514"/>
      <c r="BC12" s="492"/>
      <c r="BD12" s="492"/>
      <c r="BE12" s="514"/>
      <c r="BF12" s="492"/>
      <c r="BG12" s="514"/>
      <c r="BH12" s="492"/>
      <c r="BI12" s="514"/>
      <c r="BJ12" s="492"/>
      <c r="BK12" s="492"/>
      <c r="BL12" s="514"/>
      <c r="BM12" s="492"/>
      <c r="BN12" s="514"/>
      <c r="BO12" s="492"/>
      <c r="BP12" s="514"/>
      <c r="BQ12" s="492"/>
      <c r="BR12" s="492"/>
      <c r="BS12" s="514"/>
      <c r="BT12" s="492"/>
      <c r="BU12" s="514"/>
      <c r="BV12" s="492"/>
      <c r="BW12" s="514"/>
      <c r="BX12" s="492"/>
      <c r="BY12" s="492"/>
      <c r="BZ12" s="514"/>
      <c r="CA12" s="492"/>
      <c r="CB12" s="514"/>
      <c r="CC12" s="492"/>
      <c r="CD12" s="514"/>
      <c r="CE12" s="492"/>
      <c r="CF12" s="492"/>
      <c r="CG12" s="514"/>
      <c r="CH12" s="492"/>
      <c r="CI12" s="514"/>
      <c r="CJ12" s="492"/>
      <c r="CK12" s="586"/>
      <c r="CL12" s="492"/>
      <c r="CM12" s="492"/>
      <c r="CN12" s="514"/>
      <c r="CO12" s="492"/>
      <c r="CP12" s="514"/>
      <c r="CQ12" s="492"/>
      <c r="CR12" s="514"/>
      <c r="CS12" s="492"/>
      <c r="CT12" s="492"/>
      <c r="CU12" s="586"/>
      <c r="CV12" s="431"/>
      <c r="CW12" s="586"/>
      <c r="CX12" s="431"/>
      <c r="CY12" s="586"/>
      <c r="CZ12" s="431"/>
      <c r="DA12" s="431"/>
      <c r="DB12" s="586"/>
      <c r="DC12" s="431"/>
      <c r="DD12" s="586"/>
      <c r="DE12" s="431"/>
      <c r="DF12" s="586"/>
      <c r="DG12" s="431"/>
      <c r="DH12" s="431"/>
      <c r="DI12" s="431"/>
      <c r="DJ12" s="431"/>
      <c r="DK12" s="431"/>
      <c r="DL12" s="431"/>
      <c r="DM12" s="431"/>
      <c r="DN12" s="431"/>
      <c r="DO12" s="431"/>
      <c r="DP12" s="431"/>
      <c r="DQ12" s="431"/>
      <c r="DR12" s="431"/>
      <c r="DS12" s="431"/>
      <c r="DT12" s="431"/>
      <c r="DU12" s="431"/>
      <c r="DV12" s="431"/>
      <c r="DW12" s="431"/>
      <c r="DX12" s="431"/>
      <c r="DY12" s="431"/>
      <c r="DZ12" s="431"/>
      <c r="EA12" s="431"/>
      <c r="EB12" s="431"/>
      <c r="EC12" s="431"/>
      <c r="ED12" s="431"/>
      <c r="EE12" s="431"/>
      <c r="EF12" s="431"/>
      <c r="EG12" s="431"/>
      <c r="EH12" s="431"/>
      <c r="EI12" s="431"/>
      <c r="EJ12" s="431"/>
      <c r="EK12" s="431"/>
      <c r="EL12" s="431"/>
      <c r="EM12" s="431"/>
      <c r="EN12" s="431"/>
      <c r="EO12" s="431"/>
      <c r="EP12" s="431"/>
      <c r="EQ12" s="431"/>
      <c r="ER12" s="431"/>
      <c r="ES12" s="431"/>
      <c r="ET12" s="431"/>
      <c r="EU12" s="431"/>
      <c r="EV12" s="431"/>
      <c r="EW12" s="431"/>
      <c r="EX12" s="431"/>
      <c r="EY12" s="431"/>
      <c r="EZ12" s="431"/>
      <c r="FA12" s="431"/>
      <c r="FB12" s="431"/>
      <c r="FC12" s="431"/>
      <c r="FD12" s="431"/>
      <c r="FE12" s="431"/>
      <c r="FF12" s="431"/>
      <c r="FG12" s="431"/>
      <c r="FH12" s="431"/>
      <c r="FI12" s="431"/>
      <c r="FJ12" s="431"/>
      <c r="FK12" s="431"/>
      <c r="FL12" s="431"/>
      <c r="FM12" s="431"/>
      <c r="FN12" s="431"/>
      <c r="FO12" s="431"/>
      <c r="FP12" s="431"/>
      <c r="FQ12" s="431"/>
      <c r="FR12" s="431"/>
      <c r="FS12" s="587"/>
    </row>
    <row r="13" spans="1:175" s="511" customFormat="1" ht="26.45" customHeight="1">
      <c r="A13" s="510"/>
      <c r="B13" s="616" t="s">
        <v>371</v>
      </c>
      <c r="C13" s="615" t="s">
        <v>372</v>
      </c>
      <c r="D13" s="613">
        <v>30877350</v>
      </c>
      <c r="F13" s="626">
        <v>45951</v>
      </c>
      <c r="G13" s="512"/>
      <c r="H13" s="150"/>
      <c r="I13" s="302"/>
      <c r="J13" s="150"/>
      <c r="K13" s="690"/>
      <c r="L13" s="684">
        <f t="shared" si="1"/>
        <v>30877350</v>
      </c>
      <c r="M13" s="492"/>
      <c r="N13" s="493"/>
      <c r="O13" s="513"/>
      <c r="P13" s="493"/>
      <c r="Q13" s="513"/>
      <c r="R13" s="493"/>
      <c r="S13" s="513"/>
      <c r="T13" s="493"/>
      <c r="U13" s="493"/>
      <c r="V13" s="513"/>
      <c r="W13" s="493"/>
      <c r="X13" s="694">
        <f t="shared" si="0"/>
        <v>30877350</v>
      </c>
      <c r="Y13" s="492"/>
      <c r="Z13" s="514"/>
      <c r="AA13" s="492"/>
      <c r="AB13" s="492"/>
      <c r="AC13" s="514"/>
      <c r="AD13" s="492"/>
      <c r="AE13" s="514"/>
      <c r="AF13" s="492"/>
      <c r="AG13" s="514"/>
      <c r="AH13" s="492"/>
      <c r="AI13" s="492"/>
      <c r="AJ13" s="514"/>
      <c r="AK13" s="492"/>
      <c r="AL13" s="514"/>
      <c r="AM13" s="492"/>
      <c r="AN13" s="514"/>
      <c r="AO13" s="492"/>
      <c r="AP13" s="492"/>
      <c r="AQ13" s="514"/>
      <c r="AR13" s="492"/>
      <c r="AS13" s="514"/>
      <c r="AT13" s="492"/>
      <c r="AU13" s="514"/>
      <c r="AV13" s="492"/>
      <c r="AW13" s="492"/>
      <c r="AX13" s="514"/>
      <c r="AY13" s="492"/>
      <c r="AZ13" s="514"/>
      <c r="BA13" s="492"/>
      <c r="BB13" s="514"/>
      <c r="BC13" s="492"/>
      <c r="BD13" s="492"/>
      <c r="BE13" s="514"/>
      <c r="BF13" s="492"/>
      <c r="BG13" s="514"/>
      <c r="BH13" s="492"/>
      <c r="BI13" s="514"/>
      <c r="BJ13" s="492"/>
      <c r="BK13" s="492"/>
      <c r="BL13" s="514"/>
      <c r="BM13" s="492"/>
      <c r="BN13" s="514"/>
      <c r="BO13" s="492"/>
      <c r="BP13" s="514"/>
      <c r="BQ13" s="492"/>
      <c r="BR13" s="492"/>
      <c r="BS13" s="514"/>
      <c r="BT13" s="492"/>
      <c r="BU13" s="514"/>
      <c r="BV13" s="492"/>
      <c r="BW13" s="514"/>
      <c r="BX13" s="492"/>
      <c r="BY13" s="492"/>
      <c r="BZ13" s="514"/>
      <c r="CA13" s="492"/>
      <c r="CB13" s="514"/>
      <c r="CC13" s="492"/>
      <c r="CD13" s="514"/>
      <c r="CE13" s="492"/>
      <c r="CF13" s="492"/>
      <c r="CG13" s="514"/>
      <c r="CH13" s="492"/>
      <c r="CI13" s="514"/>
      <c r="CJ13" s="492"/>
      <c r="CK13" s="586"/>
      <c r="CL13" s="492"/>
      <c r="CM13" s="492"/>
      <c r="CN13" s="514"/>
      <c r="CO13" s="492"/>
      <c r="CP13" s="514"/>
      <c r="CQ13" s="492"/>
      <c r="CR13" s="514"/>
      <c r="CS13" s="492"/>
      <c r="CT13" s="492"/>
      <c r="CU13" s="586"/>
      <c r="CV13" s="431"/>
      <c r="CW13" s="586"/>
      <c r="CX13" s="431"/>
      <c r="CY13" s="586"/>
      <c r="CZ13" s="431"/>
      <c r="DA13" s="431"/>
      <c r="DB13" s="586"/>
      <c r="DC13" s="431"/>
      <c r="DD13" s="586"/>
      <c r="DE13" s="431"/>
      <c r="DF13" s="586"/>
      <c r="DG13" s="431"/>
      <c r="DH13" s="431"/>
      <c r="DI13" s="431"/>
      <c r="DJ13" s="431"/>
      <c r="DK13" s="431"/>
      <c r="DL13" s="431"/>
      <c r="DM13" s="431"/>
      <c r="DN13" s="431"/>
      <c r="DO13" s="431"/>
      <c r="DP13" s="431"/>
      <c r="DQ13" s="431"/>
      <c r="DR13" s="431"/>
      <c r="DS13" s="431"/>
      <c r="DT13" s="431"/>
      <c r="DU13" s="431"/>
      <c r="DV13" s="431"/>
      <c r="DW13" s="431"/>
      <c r="DX13" s="431"/>
      <c r="DY13" s="431"/>
      <c r="DZ13" s="431"/>
      <c r="EA13" s="431"/>
      <c r="EB13" s="431"/>
      <c r="EC13" s="431"/>
      <c r="ED13" s="431"/>
      <c r="EE13" s="431"/>
      <c r="EF13" s="431"/>
      <c r="EG13" s="431"/>
      <c r="EH13" s="431"/>
      <c r="EI13" s="431"/>
      <c r="EJ13" s="431"/>
      <c r="EK13" s="431"/>
      <c r="EL13" s="431"/>
      <c r="EM13" s="431"/>
      <c r="EN13" s="431"/>
      <c r="EO13" s="431"/>
      <c r="EP13" s="431"/>
      <c r="EQ13" s="431"/>
      <c r="ER13" s="431"/>
      <c r="ES13" s="431"/>
      <c r="ET13" s="431"/>
      <c r="EU13" s="431"/>
      <c r="EV13" s="431"/>
      <c r="EW13" s="431"/>
      <c r="EX13" s="431"/>
      <c r="EY13" s="431"/>
      <c r="EZ13" s="431"/>
      <c r="FA13" s="431"/>
      <c r="FB13" s="431"/>
      <c r="FC13" s="431"/>
      <c r="FD13" s="431"/>
      <c r="FE13" s="431"/>
      <c r="FF13" s="431"/>
      <c r="FG13" s="431"/>
      <c r="FH13" s="431"/>
      <c r="FI13" s="431"/>
      <c r="FJ13" s="431"/>
      <c r="FK13" s="431"/>
      <c r="FL13" s="431"/>
      <c r="FM13" s="431"/>
      <c r="FN13" s="431"/>
      <c r="FO13" s="431"/>
      <c r="FP13" s="431"/>
      <c r="FQ13" s="431"/>
      <c r="FR13" s="431"/>
      <c r="FS13" s="587"/>
    </row>
    <row r="14" spans="1:175" s="511" customFormat="1" ht="26.45" customHeight="1">
      <c r="A14" s="510"/>
      <c r="B14" s="616" t="s">
        <v>373</v>
      </c>
      <c r="C14" s="624" t="s">
        <v>374</v>
      </c>
      <c r="D14" s="613">
        <v>10290000</v>
      </c>
      <c r="F14" s="626">
        <v>45951</v>
      </c>
      <c r="G14" s="512"/>
      <c r="H14" s="150"/>
      <c r="I14" s="302"/>
      <c r="J14" s="150"/>
      <c r="K14" s="690"/>
      <c r="L14" s="684">
        <f t="shared" si="1"/>
        <v>10290000</v>
      </c>
      <c r="M14" s="492"/>
      <c r="N14" s="493"/>
      <c r="O14" s="513"/>
      <c r="P14" s="493"/>
      <c r="Q14" s="513"/>
      <c r="R14" s="493"/>
      <c r="S14" s="513"/>
      <c r="T14" s="493"/>
      <c r="U14" s="493"/>
      <c r="V14" s="513"/>
      <c r="W14" s="493"/>
      <c r="X14" s="694">
        <f t="shared" si="0"/>
        <v>10290000</v>
      </c>
      <c r="Y14" s="492"/>
      <c r="Z14" s="514"/>
      <c r="AA14" s="492"/>
      <c r="AB14" s="492"/>
      <c r="AC14" s="514"/>
      <c r="AD14" s="492"/>
      <c r="AE14" s="514"/>
      <c r="AF14" s="492"/>
      <c r="AG14" s="514"/>
      <c r="AH14" s="492"/>
      <c r="AI14" s="492"/>
      <c r="AJ14" s="514"/>
      <c r="AK14" s="492"/>
      <c r="AL14" s="514"/>
      <c r="AM14" s="492"/>
      <c r="AN14" s="514"/>
      <c r="AO14" s="492"/>
      <c r="AP14" s="492"/>
      <c r="AQ14" s="514"/>
      <c r="AR14" s="492"/>
      <c r="AS14" s="514"/>
      <c r="AT14" s="492"/>
      <c r="AU14" s="514"/>
      <c r="AV14" s="492"/>
      <c r="AW14" s="492"/>
      <c r="AX14" s="514"/>
      <c r="AY14" s="492"/>
      <c r="AZ14" s="514"/>
      <c r="BA14" s="492"/>
      <c r="BB14" s="514"/>
      <c r="BC14" s="492"/>
      <c r="BD14" s="492"/>
      <c r="BE14" s="514"/>
      <c r="BF14" s="492"/>
      <c r="BG14" s="514"/>
      <c r="BH14" s="492"/>
      <c r="BI14" s="514"/>
      <c r="BJ14" s="492"/>
      <c r="BK14" s="492"/>
      <c r="BL14" s="514"/>
      <c r="BM14" s="492"/>
      <c r="BN14" s="514"/>
      <c r="BO14" s="492"/>
      <c r="BP14" s="514"/>
      <c r="BQ14" s="492"/>
      <c r="BR14" s="492"/>
      <c r="BS14" s="514"/>
      <c r="BT14" s="492"/>
      <c r="BU14" s="514"/>
      <c r="BV14" s="492"/>
      <c r="BW14" s="514"/>
      <c r="BX14" s="492"/>
      <c r="BY14" s="492"/>
      <c r="BZ14" s="514"/>
      <c r="CA14" s="492"/>
      <c r="CB14" s="514"/>
      <c r="CC14" s="492"/>
      <c r="CD14" s="514"/>
      <c r="CE14" s="492"/>
      <c r="CF14" s="492"/>
      <c r="CG14" s="514"/>
      <c r="CH14" s="492"/>
      <c r="CI14" s="514"/>
      <c r="CJ14" s="492"/>
      <c r="CK14" s="586"/>
      <c r="CL14" s="492"/>
      <c r="CM14" s="492"/>
      <c r="CN14" s="514"/>
      <c r="CO14" s="492"/>
      <c r="CP14" s="514"/>
      <c r="CQ14" s="492"/>
      <c r="CR14" s="514"/>
      <c r="CS14" s="492"/>
      <c r="CT14" s="492"/>
      <c r="CU14" s="586"/>
      <c r="CV14" s="431"/>
      <c r="CW14" s="586"/>
      <c r="CX14" s="431"/>
      <c r="CY14" s="586"/>
      <c r="CZ14" s="431"/>
      <c r="DA14" s="431"/>
      <c r="DB14" s="586"/>
      <c r="DC14" s="431"/>
      <c r="DD14" s="586"/>
      <c r="DE14" s="431"/>
      <c r="DF14" s="586"/>
      <c r="DG14" s="431"/>
      <c r="DH14" s="431"/>
      <c r="DI14" s="431"/>
      <c r="DJ14" s="431"/>
      <c r="DK14" s="431"/>
      <c r="DL14" s="431"/>
      <c r="DM14" s="431"/>
      <c r="DN14" s="431"/>
      <c r="DO14" s="431"/>
      <c r="DP14" s="431"/>
      <c r="DQ14" s="431"/>
      <c r="DR14" s="431"/>
      <c r="DS14" s="431"/>
      <c r="DT14" s="431"/>
      <c r="DU14" s="431"/>
      <c r="DV14" s="431"/>
      <c r="DW14" s="431"/>
      <c r="DX14" s="431"/>
      <c r="DY14" s="431"/>
      <c r="DZ14" s="431"/>
      <c r="EA14" s="431"/>
      <c r="EB14" s="431"/>
      <c r="EC14" s="431"/>
      <c r="ED14" s="431"/>
      <c r="EE14" s="431"/>
      <c r="EF14" s="431"/>
      <c r="EG14" s="431"/>
      <c r="EH14" s="431"/>
      <c r="EI14" s="431"/>
      <c r="EJ14" s="431"/>
      <c r="EK14" s="431"/>
      <c r="EL14" s="431"/>
      <c r="EM14" s="431"/>
      <c r="EN14" s="431"/>
      <c r="EO14" s="431"/>
      <c r="EP14" s="431"/>
      <c r="EQ14" s="431"/>
      <c r="ER14" s="431"/>
      <c r="ES14" s="431"/>
      <c r="ET14" s="431"/>
      <c r="EU14" s="431"/>
      <c r="EV14" s="431"/>
      <c r="EW14" s="431"/>
      <c r="EX14" s="431"/>
      <c r="EY14" s="431"/>
      <c r="EZ14" s="431"/>
      <c r="FA14" s="431"/>
      <c r="FB14" s="431"/>
      <c r="FC14" s="431"/>
      <c r="FD14" s="431"/>
      <c r="FE14" s="431"/>
      <c r="FF14" s="431"/>
      <c r="FG14" s="431"/>
      <c r="FH14" s="431"/>
      <c r="FI14" s="431"/>
      <c r="FJ14" s="431"/>
      <c r="FK14" s="431"/>
      <c r="FL14" s="431"/>
      <c r="FM14" s="431"/>
      <c r="FN14" s="431"/>
      <c r="FO14" s="431"/>
      <c r="FP14" s="431"/>
      <c r="FQ14" s="431"/>
      <c r="FR14" s="431"/>
      <c r="FS14" s="587"/>
    </row>
    <row r="15" spans="1:175" s="511" customFormat="1" ht="26.45" customHeight="1">
      <c r="A15" s="510"/>
      <c r="B15" s="627" t="s">
        <v>375</v>
      </c>
      <c r="C15" s="637" t="s">
        <v>376</v>
      </c>
      <c r="D15" s="629">
        <v>10000000</v>
      </c>
      <c r="F15" s="626">
        <v>45951</v>
      </c>
      <c r="G15" s="512"/>
      <c r="H15" s="150"/>
      <c r="I15" s="302"/>
      <c r="J15" s="150"/>
      <c r="K15" s="690"/>
      <c r="L15" s="684">
        <f t="shared" si="1"/>
        <v>10000000</v>
      </c>
      <c r="M15" s="492"/>
      <c r="N15" s="493"/>
      <c r="O15" s="513"/>
      <c r="P15" s="493"/>
      <c r="Q15" s="513"/>
      <c r="R15" s="493"/>
      <c r="S15" s="513"/>
      <c r="T15" s="493"/>
      <c r="U15" s="493"/>
      <c r="V15" s="513"/>
      <c r="W15" s="493"/>
      <c r="X15" s="694">
        <f t="shared" si="0"/>
        <v>10000000</v>
      </c>
      <c r="Y15" s="492"/>
      <c r="Z15" s="514"/>
      <c r="AA15" s="492"/>
      <c r="AB15" s="492"/>
      <c r="AC15" s="514"/>
      <c r="AD15" s="492"/>
      <c r="AE15" s="514"/>
      <c r="AF15" s="492"/>
      <c r="AG15" s="514"/>
      <c r="AH15" s="492"/>
      <c r="AI15" s="492"/>
      <c r="AJ15" s="514"/>
      <c r="AK15" s="492"/>
      <c r="AL15" s="514"/>
      <c r="AM15" s="492"/>
      <c r="AN15" s="514"/>
      <c r="AO15" s="492"/>
      <c r="AP15" s="492"/>
      <c r="AQ15" s="514"/>
      <c r="AR15" s="492"/>
      <c r="AS15" s="514"/>
      <c r="AT15" s="492"/>
      <c r="AU15" s="514"/>
      <c r="AV15" s="492"/>
      <c r="AW15" s="492"/>
      <c r="AX15" s="514"/>
      <c r="AY15" s="492"/>
      <c r="AZ15" s="514"/>
      <c r="BA15" s="492"/>
      <c r="BB15" s="514"/>
      <c r="BC15" s="492"/>
      <c r="BD15" s="492"/>
      <c r="BE15" s="514"/>
      <c r="BF15" s="492"/>
      <c r="BG15" s="514"/>
      <c r="BH15" s="492"/>
      <c r="BI15" s="514"/>
      <c r="BJ15" s="492"/>
      <c r="BK15" s="492"/>
      <c r="BL15" s="514"/>
      <c r="BM15" s="492"/>
      <c r="BN15" s="514"/>
      <c r="BO15" s="492"/>
      <c r="BP15" s="514"/>
      <c r="BQ15" s="492"/>
      <c r="BR15" s="492"/>
      <c r="BS15" s="514"/>
      <c r="BT15" s="492"/>
      <c r="BU15" s="514"/>
      <c r="BV15" s="492"/>
      <c r="BW15" s="514"/>
      <c r="BX15" s="492"/>
      <c r="BY15" s="492"/>
      <c r="BZ15" s="514"/>
      <c r="CA15" s="492"/>
      <c r="CB15" s="514"/>
      <c r="CC15" s="492"/>
      <c r="CD15" s="514"/>
      <c r="CE15" s="492"/>
      <c r="CF15" s="492"/>
      <c r="CG15" s="514"/>
      <c r="CH15" s="492"/>
      <c r="CI15" s="514"/>
      <c r="CJ15" s="492"/>
      <c r="CK15" s="586"/>
      <c r="CL15" s="492"/>
      <c r="CM15" s="492"/>
      <c r="CN15" s="514"/>
      <c r="CO15" s="492"/>
      <c r="CP15" s="514"/>
      <c r="CQ15" s="492"/>
      <c r="CR15" s="514"/>
      <c r="CS15" s="492"/>
      <c r="CT15" s="492"/>
      <c r="CU15" s="586"/>
      <c r="CV15" s="431"/>
      <c r="CW15" s="586"/>
      <c r="CX15" s="431"/>
      <c r="CY15" s="586"/>
      <c r="CZ15" s="431"/>
      <c r="DA15" s="431"/>
      <c r="DB15" s="586"/>
      <c r="DC15" s="431"/>
      <c r="DD15" s="586"/>
      <c r="DE15" s="431"/>
      <c r="DF15" s="586"/>
      <c r="DG15" s="431"/>
      <c r="DH15" s="431"/>
      <c r="DI15" s="431"/>
      <c r="DJ15" s="431"/>
      <c r="DK15" s="431"/>
      <c r="DL15" s="431"/>
      <c r="DM15" s="431"/>
      <c r="DN15" s="431"/>
      <c r="DO15" s="431"/>
      <c r="DP15" s="431"/>
      <c r="DQ15" s="431"/>
      <c r="DR15" s="431"/>
      <c r="DS15" s="431"/>
      <c r="DT15" s="431"/>
      <c r="DU15" s="431"/>
      <c r="DV15" s="431"/>
      <c r="DW15" s="431"/>
      <c r="DX15" s="431"/>
      <c r="DY15" s="431"/>
      <c r="DZ15" s="431"/>
      <c r="EA15" s="431"/>
      <c r="EB15" s="431"/>
      <c r="EC15" s="431"/>
      <c r="ED15" s="431"/>
      <c r="EE15" s="431"/>
      <c r="EF15" s="431"/>
      <c r="EG15" s="431"/>
      <c r="EH15" s="431"/>
      <c r="EI15" s="431"/>
      <c r="EJ15" s="431"/>
      <c r="EK15" s="431"/>
      <c r="EL15" s="431"/>
      <c r="EM15" s="431"/>
      <c r="EN15" s="431"/>
      <c r="EO15" s="431"/>
      <c r="EP15" s="431"/>
      <c r="EQ15" s="431"/>
      <c r="ER15" s="431"/>
      <c r="ES15" s="431"/>
      <c r="ET15" s="431"/>
      <c r="EU15" s="431"/>
      <c r="EV15" s="431"/>
      <c r="EW15" s="431"/>
      <c r="EX15" s="431"/>
      <c r="EY15" s="431"/>
      <c r="EZ15" s="431"/>
      <c r="FA15" s="431"/>
      <c r="FB15" s="431"/>
      <c r="FC15" s="431"/>
      <c r="FD15" s="431"/>
      <c r="FE15" s="431"/>
      <c r="FF15" s="431"/>
      <c r="FG15" s="431"/>
      <c r="FH15" s="431"/>
      <c r="FI15" s="431"/>
      <c r="FJ15" s="431"/>
      <c r="FK15" s="431"/>
      <c r="FL15" s="431"/>
      <c r="FM15" s="431"/>
      <c r="FN15" s="431"/>
      <c r="FO15" s="431"/>
      <c r="FP15" s="431"/>
      <c r="FQ15" s="431"/>
      <c r="FR15" s="431"/>
      <c r="FS15" s="587"/>
    </row>
    <row r="16" spans="1:175" s="511" customFormat="1" ht="26.45" customHeight="1">
      <c r="A16" s="510"/>
      <c r="B16" s="627" t="s">
        <v>377</v>
      </c>
      <c r="C16" s="628" t="s">
        <v>378</v>
      </c>
      <c r="D16" s="629">
        <v>2000000</v>
      </c>
      <c r="F16" s="626">
        <v>45951</v>
      </c>
      <c r="G16" s="512"/>
      <c r="H16" s="150"/>
      <c r="I16" s="302"/>
      <c r="J16" s="150"/>
      <c r="K16" s="690"/>
      <c r="L16" s="684">
        <f t="shared" si="1"/>
        <v>2000000</v>
      </c>
      <c r="M16" s="492"/>
      <c r="N16" s="493"/>
      <c r="O16" s="513"/>
      <c r="P16" s="493"/>
      <c r="Q16" s="513"/>
      <c r="R16" s="493"/>
      <c r="S16" s="513"/>
      <c r="T16" s="493"/>
      <c r="U16" s="493"/>
      <c r="V16" s="513"/>
      <c r="W16" s="493"/>
      <c r="X16" s="694">
        <f t="shared" si="0"/>
        <v>2000000</v>
      </c>
      <c r="Y16" s="492"/>
      <c r="Z16" s="514"/>
      <c r="AA16" s="492"/>
      <c r="AB16" s="492"/>
      <c r="AC16" s="514"/>
      <c r="AD16" s="492"/>
      <c r="AE16" s="514"/>
      <c r="AF16" s="492"/>
      <c r="AG16" s="514"/>
      <c r="AH16" s="492"/>
      <c r="AI16" s="492"/>
      <c r="AJ16" s="514"/>
      <c r="AK16" s="492"/>
      <c r="AL16" s="514"/>
      <c r="AM16" s="492"/>
      <c r="AN16" s="514"/>
      <c r="AO16" s="492"/>
      <c r="AP16" s="492"/>
      <c r="AQ16" s="514"/>
      <c r="AR16" s="492"/>
      <c r="AS16" s="514"/>
      <c r="AT16" s="492"/>
      <c r="AU16" s="514"/>
      <c r="AV16" s="492"/>
      <c r="AW16" s="492"/>
      <c r="AX16" s="514"/>
      <c r="AY16" s="492"/>
      <c r="AZ16" s="514"/>
      <c r="BA16" s="492"/>
      <c r="BB16" s="514"/>
      <c r="BC16" s="492"/>
      <c r="BD16" s="492"/>
      <c r="BE16" s="514"/>
      <c r="BF16" s="492"/>
      <c r="BG16" s="514"/>
      <c r="BH16" s="492"/>
      <c r="BI16" s="514"/>
      <c r="BJ16" s="492"/>
      <c r="BK16" s="492"/>
      <c r="BL16" s="514"/>
      <c r="BM16" s="492"/>
      <c r="BN16" s="514"/>
      <c r="BO16" s="492"/>
      <c r="BP16" s="514"/>
      <c r="BQ16" s="492"/>
      <c r="BR16" s="492"/>
      <c r="BS16" s="514"/>
      <c r="BT16" s="492"/>
      <c r="BU16" s="514"/>
      <c r="BV16" s="492"/>
      <c r="BW16" s="514"/>
      <c r="BX16" s="492"/>
      <c r="BY16" s="492"/>
      <c r="BZ16" s="514"/>
      <c r="CA16" s="492"/>
      <c r="CB16" s="514"/>
      <c r="CC16" s="492"/>
      <c r="CD16" s="514"/>
      <c r="CE16" s="492"/>
      <c r="CF16" s="492"/>
      <c r="CG16" s="514"/>
      <c r="CH16" s="492"/>
      <c r="CI16" s="514"/>
      <c r="CJ16" s="492"/>
      <c r="CK16" s="586"/>
      <c r="CL16" s="492"/>
      <c r="CM16" s="492"/>
      <c r="CN16" s="514"/>
      <c r="CO16" s="492"/>
      <c r="CP16" s="514"/>
      <c r="CQ16" s="492"/>
      <c r="CR16" s="514"/>
      <c r="CS16" s="492"/>
      <c r="CT16" s="492"/>
      <c r="CU16" s="586"/>
      <c r="CV16" s="431"/>
      <c r="CW16" s="586"/>
      <c r="CX16" s="431"/>
      <c r="CY16" s="586"/>
      <c r="CZ16" s="431"/>
      <c r="DA16" s="431"/>
      <c r="DB16" s="586"/>
      <c r="DC16" s="431"/>
      <c r="DD16" s="586"/>
      <c r="DE16" s="431"/>
      <c r="DF16" s="586"/>
      <c r="DG16" s="431"/>
      <c r="DH16" s="431"/>
      <c r="DI16" s="431"/>
      <c r="DJ16" s="431"/>
      <c r="DK16" s="431"/>
      <c r="DL16" s="431"/>
      <c r="DM16" s="431"/>
      <c r="DN16" s="431"/>
      <c r="DO16" s="431"/>
      <c r="DP16" s="431"/>
      <c r="DQ16" s="431"/>
      <c r="DR16" s="431"/>
      <c r="DS16" s="431"/>
      <c r="DT16" s="431"/>
      <c r="DU16" s="431"/>
      <c r="DV16" s="431"/>
      <c r="DW16" s="431"/>
      <c r="DX16" s="431"/>
      <c r="DY16" s="431"/>
      <c r="DZ16" s="431"/>
      <c r="EA16" s="431"/>
      <c r="EB16" s="431"/>
      <c r="EC16" s="431"/>
      <c r="ED16" s="431"/>
      <c r="EE16" s="431"/>
      <c r="EF16" s="431"/>
      <c r="EG16" s="431"/>
      <c r="EH16" s="431"/>
      <c r="EI16" s="431"/>
      <c r="EJ16" s="431"/>
      <c r="EK16" s="431"/>
      <c r="EL16" s="431"/>
      <c r="EM16" s="431"/>
      <c r="EN16" s="431"/>
      <c r="EO16" s="431"/>
      <c r="EP16" s="431"/>
      <c r="EQ16" s="431"/>
      <c r="ER16" s="431"/>
      <c r="ES16" s="431"/>
      <c r="ET16" s="431"/>
      <c r="EU16" s="431"/>
      <c r="EV16" s="431"/>
      <c r="EW16" s="431"/>
      <c r="EX16" s="431"/>
      <c r="EY16" s="431"/>
      <c r="EZ16" s="431"/>
      <c r="FA16" s="431"/>
      <c r="FB16" s="431"/>
      <c r="FC16" s="431"/>
      <c r="FD16" s="431"/>
      <c r="FE16" s="431"/>
      <c r="FF16" s="431"/>
      <c r="FG16" s="431"/>
      <c r="FH16" s="431"/>
      <c r="FI16" s="431"/>
      <c r="FJ16" s="431"/>
      <c r="FK16" s="431"/>
      <c r="FL16" s="431"/>
      <c r="FM16" s="431"/>
      <c r="FN16" s="431"/>
      <c r="FO16" s="431"/>
      <c r="FP16" s="431"/>
      <c r="FQ16" s="431"/>
      <c r="FR16" s="431"/>
      <c r="FS16" s="587"/>
    </row>
    <row r="17" spans="1:175" s="511" customFormat="1" ht="26.45" customHeight="1">
      <c r="A17" s="510"/>
      <c r="B17" s="616" t="s">
        <v>379</v>
      </c>
      <c r="C17" s="615" t="s">
        <v>380</v>
      </c>
      <c r="D17" s="619">
        <v>300000</v>
      </c>
      <c r="F17" s="626">
        <v>45951</v>
      </c>
      <c r="G17" s="512"/>
      <c r="H17" s="150"/>
      <c r="I17" s="302"/>
      <c r="J17" s="150"/>
      <c r="K17" s="690"/>
      <c r="L17" s="684">
        <f t="shared" si="1"/>
        <v>300000</v>
      </c>
      <c r="M17" s="492"/>
      <c r="N17" s="493"/>
      <c r="O17" s="513"/>
      <c r="P17" s="493"/>
      <c r="Q17" s="513"/>
      <c r="R17" s="493"/>
      <c r="S17" s="513"/>
      <c r="T17" s="493"/>
      <c r="U17" s="493"/>
      <c r="V17" s="513"/>
      <c r="W17" s="493"/>
      <c r="X17" s="694">
        <f t="shared" si="0"/>
        <v>300000</v>
      </c>
      <c r="Y17" s="492"/>
      <c r="Z17" s="514"/>
      <c r="AA17" s="492"/>
      <c r="AB17" s="492"/>
      <c r="AC17" s="514"/>
      <c r="AD17" s="492"/>
      <c r="AE17" s="514"/>
      <c r="AF17" s="492"/>
      <c r="AG17" s="514"/>
      <c r="AH17" s="492"/>
      <c r="AI17" s="492"/>
      <c r="AJ17" s="514"/>
      <c r="AK17" s="492"/>
      <c r="AL17" s="514"/>
      <c r="AM17" s="492"/>
      <c r="AN17" s="514"/>
      <c r="AO17" s="492"/>
      <c r="AP17" s="492"/>
      <c r="AQ17" s="514"/>
      <c r="AR17" s="492"/>
      <c r="AS17" s="514"/>
      <c r="AT17" s="492"/>
      <c r="AU17" s="514"/>
      <c r="AV17" s="492"/>
      <c r="AW17" s="492"/>
      <c r="AX17" s="514"/>
      <c r="AY17" s="492"/>
      <c r="AZ17" s="514"/>
      <c r="BA17" s="492"/>
      <c r="BB17" s="514"/>
      <c r="BC17" s="492"/>
      <c r="BD17" s="492"/>
      <c r="BE17" s="514"/>
      <c r="BF17" s="492"/>
      <c r="BG17" s="514"/>
      <c r="BH17" s="492"/>
      <c r="BI17" s="514"/>
      <c r="BJ17" s="492"/>
      <c r="BK17" s="492"/>
      <c r="BL17" s="514"/>
      <c r="BM17" s="492"/>
      <c r="BN17" s="514"/>
      <c r="BO17" s="492"/>
      <c r="BP17" s="514"/>
      <c r="BQ17" s="492"/>
      <c r="BR17" s="492"/>
      <c r="BS17" s="514"/>
      <c r="BT17" s="492"/>
      <c r="BU17" s="514"/>
      <c r="BV17" s="492"/>
      <c r="BW17" s="514"/>
      <c r="BX17" s="492"/>
      <c r="BY17" s="492"/>
      <c r="BZ17" s="514"/>
      <c r="CA17" s="492"/>
      <c r="CB17" s="514"/>
      <c r="CC17" s="492"/>
      <c r="CD17" s="514"/>
      <c r="CE17" s="492"/>
      <c r="CF17" s="492"/>
      <c r="CG17" s="514"/>
      <c r="CH17" s="492"/>
      <c r="CI17" s="514"/>
      <c r="CJ17" s="492"/>
      <c r="CK17" s="586"/>
      <c r="CL17" s="492"/>
      <c r="CM17" s="492"/>
      <c r="CN17" s="514"/>
      <c r="CO17" s="492"/>
      <c r="CP17" s="514"/>
      <c r="CQ17" s="492"/>
      <c r="CR17" s="514"/>
      <c r="CS17" s="492"/>
      <c r="CT17" s="492"/>
      <c r="CU17" s="586"/>
      <c r="CV17" s="431"/>
      <c r="CW17" s="586"/>
      <c r="CX17" s="431"/>
      <c r="CY17" s="586"/>
      <c r="CZ17" s="431"/>
      <c r="DA17" s="431"/>
      <c r="DB17" s="586"/>
      <c r="DC17" s="431"/>
      <c r="DD17" s="586"/>
      <c r="DE17" s="431"/>
      <c r="DF17" s="586"/>
      <c r="DG17" s="431"/>
      <c r="DH17" s="431"/>
      <c r="DI17" s="431"/>
      <c r="DJ17" s="431"/>
      <c r="DK17" s="431"/>
      <c r="DL17" s="431"/>
      <c r="DM17" s="431"/>
      <c r="DN17" s="431"/>
      <c r="DO17" s="431"/>
      <c r="DP17" s="431"/>
      <c r="DQ17" s="431"/>
      <c r="DR17" s="431"/>
      <c r="DS17" s="431"/>
      <c r="DT17" s="431"/>
      <c r="DU17" s="431"/>
      <c r="DV17" s="431"/>
      <c r="DW17" s="431"/>
      <c r="DX17" s="431"/>
      <c r="DY17" s="431"/>
      <c r="DZ17" s="431"/>
      <c r="EA17" s="431"/>
      <c r="EB17" s="431"/>
      <c r="EC17" s="431"/>
      <c r="ED17" s="431"/>
      <c r="EE17" s="431"/>
      <c r="EF17" s="431"/>
      <c r="EG17" s="431"/>
      <c r="EH17" s="431"/>
      <c r="EI17" s="431"/>
      <c r="EJ17" s="431"/>
      <c r="EK17" s="431"/>
      <c r="EL17" s="431"/>
      <c r="EM17" s="431"/>
      <c r="EN17" s="431"/>
      <c r="EO17" s="431"/>
      <c r="EP17" s="431"/>
      <c r="EQ17" s="431"/>
      <c r="ER17" s="431"/>
      <c r="ES17" s="431"/>
      <c r="ET17" s="431"/>
      <c r="EU17" s="431"/>
      <c r="EV17" s="431"/>
      <c r="EW17" s="431"/>
      <c r="EX17" s="431"/>
      <c r="EY17" s="431"/>
      <c r="EZ17" s="431"/>
      <c r="FA17" s="431"/>
      <c r="FB17" s="431"/>
      <c r="FC17" s="431"/>
      <c r="FD17" s="431"/>
      <c r="FE17" s="431"/>
      <c r="FF17" s="431"/>
      <c r="FG17" s="431"/>
      <c r="FH17" s="431"/>
      <c r="FI17" s="431"/>
      <c r="FJ17" s="431"/>
      <c r="FK17" s="431"/>
      <c r="FL17" s="431"/>
      <c r="FM17" s="431"/>
      <c r="FN17" s="431"/>
      <c r="FO17" s="431"/>
      <c r="FP17" s="431"/>
      <c r="FQ17" s="431"/>
      <c r="FR17" s="431"/>
      <c r="FS17" s="587"/>
    </row>
    <row r="18" spans="1:175" s="511" customFormat="1" ht="26.45" customHeight="1">
      <c r="A18" s="510"/>
      <c r="B18" s="616" t="s">
        <v>379</v>
      </c>
      <c r="C18" s="615" t="s">
        <v>381</v>
      </c>
      <c r="D18" s="619">
        <v>350000</v>
      </c>
      <c r="F18" s="626">
        <v>45951</v>
      </c>
      <c r="G18" s="512"/>
      <c r="H18" s="150"/>
      <c r="I18" s="302"/>
      <c r="J18" s="150"/>
      <c r="K18" s="690"/>
      <c r="L18" s="684">
        <f t="shared" si="1"/>
        <v>350000</v>
      </c>
      <c r="M18" s="492"/>
      <c r="N18" s="493"/>
      <c r="O18" s="513"/>
      <c r="P18" s="493"/>
      <c r="Q18" s="513"/>
      <c r="R18" s="493"/>
      <c r="S18" s="513"/>
      <c r="T18" s="493"/>
      <c r="U18" s="493"/>
      <c r="V18" s="513"/>
      <c r="W18" s="493"/>
      <c r="X18" s="694">
        <f t="shared" si="0"/>
        <v>350000</v>
      </c>
      <c r="Y18" s="492"/>
      <c r="Z18" s="514"/>
      <c r="AA18" s="492"/>
      <c r="AB18" s="492"/>
      <c r="AC18" s="514"/>
      <c r="AD18" s="492"/>
      <c r="AE18" s="514"/>
      <c r="AF18" s="492"/>
      <c r="AG18" s="514"/>
      <c r="AH18" s="492"/>
      <c r="AI18" s="492"/>
      <c r="AJ18" s="514"/>
      <c r="AK18" s="492"/>
      <c r="AL18" s="514"/>
      <c r="AM18" s="492"/>
      <c r="AN18" s="514"/>
      <c r="AO18" s="492"/>
      <c r="AP18" s="492"/>
      <c r="AQ18" s="514"/>
      <c r="AR18" s="492"/>
      <c r="AS18" s="514"/>
      <c r="AT18" s="492"/>
      <c r="AU18" s="514"/>
      <c r="AV18" s="492"/>
      <c r="AW18" s="492"/>
      <c r="AX18" s="514"/>
      <c r="AY18" s="492"/>
      <c r="AZ18" s="514"/>
      <c r="BA18" s="492"/>
      <c r="BB18" s="514"/>
      <c r="BC18" s="492"/>
      <c r="BD18" s="492"/>
      <c r="BE18" s="514"/>
      <c r="BF18" s="492"/>
      <c r="BG18" s="514"/>
      <c r="BH18" s="492"/>
      <c r="BI18" s="514"/>
      <c r="BJ18" s="492"/>
      <c r="BK18" s="492"/>
      <c r="BL18" s="514"/>
      <c r="BM18" s="492"/>
      <c r="BN18" s="514"/>
      <c r="BO18" s="492"/>
      <c r="BP18" s="514"/>
      <c r="BQ18" s="492"/>
      <c r="BR18" s="492"/>
      <c r="BS18" s="514"/>
      <c r="BT18" s="492"/>
      <c r="BU18" s="514"/>
      <c r="BV18" s="492"/>
      <c r="BW18" s="514"/>
      <c r="BX18" s="492"/>
      <c r="BY18" s="492"/>
      <c r="BZ18" s="514"/>
      <c r="CA18" s="492"/>
      <c r="CB18" s="514"/>
      <c r="CC18" s="492"/>
      <c r="CD18" s="514"/>
      <c r="CE18" s="492"/>
      <c r="CF18" s="492"/>
      <c r="CG18" s="514"/>
      <c r="CH18" s="492"/>
      <c r="CI18" s="514"/>
      <c r="CJ18" s="492"/>
      <c r="CK18" s="586"/>
      <c r="CL18" s="492"/>
      <c r="CM18" s="492"/>
      <c r="CN18" s="514"/>
      <c r="CO18" s="492"/>
      <c r="CP18" s="514"/>
      <c r="CQ18" s="492"/>
      <c r="CR18" s="514"/>
      <c r="CS18" s="492"/>
      <c r="CT18" s="492"/>
      <c r="CU18" s="586"/>
      <c r="CV18" s="431"/>
      <c r="CW18" s="586"/>
      <c r="CX18" s="431"/>
      <c r="CY18" s="586"/>
      <c r="CZ18" s="431"/>
      <c r="DA18" s="431"/>
      <c r="DB18" s="586"/>
      <c r="DC18" s="431"/>
      <c r="DD18" s="586"/>
      <c r="DE18" s="431"/>
      <c r="DF18" s="586"/>
      <c r="DG18" s="431"/>
      <c r="DH18" s="431"/>
      <c r="DI18" s="431"/>
      <c r="DJ18" s="431"/>
      <c r="DK18" s="431"/>
      <c r="DL18" s="431"/>
      <c r="DM18" s="431"/>
      <c r="DN18" s="431"/>
      <c r="DO18" s="431"/>
      <c r="DP18" s="431"/>
      <c r="DQ18" s="431"/>
      <c r="DR18" s="431"/>
      <c r="DS18" s="431"/>
      <c r="DT18" s="431"/>
      <c r="DU18" s="431"/>
      <c r="DV18" s="431"/>
      <c r="DW18" s="431"/>
      <c r="DX18" s="431"/>
      <c r="DY18" s="431"/>
      <c r="DZ18" s="431"/>
      <c r="EA18" s="431"/>
      <c r="EB18" s="431"/>
      <c r="EC18" s="431"/>
      <c r="ED18" s="431"/>
      <c r="EE18" s="431"/>
      <c r="EF18" s="431"/>
      <c r="EG18" s="431"/>
      <c r="EH18" s="431"/>
      <c r="EI18" s="431"/>
      <c r="EJ18" s="431"/>
      <c r="EK18" s="431"/>
      <c r="EL18" s="431"/>
      <c r="EM18" s="431"/>
      <c r="EN18" s="431"/>
      <c r="EO18" s="431"/>
      <c r="EP18" s="431"/>
      <c r="EQ18" s="431"/>
      <c r="ER18" s="431"/>
      <c r="ES18" s="431"/>
      <c r="ET18" s="431"/>
      <c r="EU18" s="431"/>
      <c r="EV18" s="431"/>
      <c r="EW18" s="431"/>
      <c r="EX18" s="431"/>
      <c r="EY18" s="431"/>
      <c r="EZ18" s="431"/>
      <c r="FA18" s="431"/>
      <c r="FB18" s="431"/>
      <c r="FC18" s="431"/>
      <c r="FD18" s="431"/>
      <c r="FE18" s="431"/>
      <c r="FF18" s="431"/>
      <c r="FG18" s="431"/>
      <c r="FH18" s="431"/>
      <c r="FI18" s="431"/>
      <c r="FJ18" s="431"/>
      <c r="FK18" s="431"/>
      <c r="FL18" s="431"/>
      <c r="FM18" s="431"/>
      <c r="FN18" s="431"/>
      <c r="FO18" s="431"/>
      <c r="FP18" s="431"/>
      <c r="FQ18" s="431"/>
      <c r="FR18" s="431"/>
      <c r="FS18" s="587"/>
    </row>
    <row r="19" spans="1:175" s="511" customFormat="1" ht="26.45" customHeight="1">
      <c r="A19" s="510"/>
      <c r="B19" s="616" t="s">
        <v>382</v>
      </c>
      <c r="C19" s="624" t="s">
        <v>383</v>
      </c>
      <c r="D19" s="613">
        <v>105000</v>
      </c>
      <c r="F19" s="626">
        <v>45951</v>
      </c>
      <c r="G19" s="512"/>
      <c r="H19" s="150"/>
      <c r="I19" s="302"/>
      <c r="J19" s="150"/>
      <c r="K19" s="690"/>
      <c r="L19" s="684">
        <f>D19</f>
        <v>105000</v>
      </c>
      <c r="M19" s="492"/>
      <c r="N19" s="493"/>
      <c r="O19" s="513"/>
      <c r="P19" s="493"/>
      <c r="Q19" s="513"/>
      <c r="R19" s="493"/>
      <c r="S19" s="513"/>
      <c r="T19" s="493"/>
      <c r="U19" s="493"/>
      <c r="V19" s="513"/>
      <c r="W19" s="493"/>
      <c r="X19" s="694">
        <f t="shared" si="0"/>
        <v>105000</v>
      </c>
      <c r="Y19" s="492"/>
      <c r="Z19" s="514"/>
      <c r="AA19" s="492"/>
      <c r="AB19" s="492"/>
      <c r="AC19" s="514"/>
      <c r="AD19" s="492"/>
      <c r="AE19" s="514"/>
      <c r="AF19" s="492"/>
      <c r="AG19" s="514"/>
      <c r="AH19" s="492"/>
      <c r="AI19" s="492"/>
      <c r="AJ19" s="514"/>
      <c r="AK19" s="492"/>
      <c r="AL19" s="514"/>
      <c r="AM19" s="492"/>
      <c r="AN19" s="514"/>
      <c r="AO19" s="492"/>
      <c r="AP19" s="492"/>
      <c r="AQ19" s="514"/>
      <c r="AR19" s="492"/>
      <c r="AS19" s="514"/>
      <c r="AT19" s="492"/>
      <c r="AU19" s="514"/>
      <c r="AV19" s="492"/>
      <c r="AW19" s="492"/>
      <c r="AX19" s="514"/>
      <c r="AY19" s="492"/>
      <c r="AZ19" s="514"/>
      <c r="BA19" s="492"/>
      <c r="BB19" s="514"/>
      <c r="BC19" s="492"/>
      <c r="BD19" s="492"/>
      <c r="BE19" s="514"/>
      <c r="BF19" s="492"/>
      <c r="BG19" s="514"/>
      <c r="BH19" s="492"/>
      <c r="BI19" s="514"/>
      <c r="BJ19" s="492"/>
      <c r="BK19" s="492"/>
      <c r="BL19" s="514"/>
      <c r="BM19" s="492"/>
      <c r="BN19" s="514"/>
      <c r="BO19" s="492"/>
      <c r="BP19" s="514"/>
      <c r="BQ19" s="492"/>
      <c r="BR19" s="492"/>
      <c r="BS19" s="514"/>
      <c r="BT19" s="492"/>
      <c r="BU19" s="514"/>
      <c r="BV19" s="492"/>
      <c r="BW19" s="514"/>
      <c r="BX19" s="492"/>
      <c r="BY19" s="492"/>
      <c r="BZ19" s="514"/>
      <c r="CA19" s="492"/>
      <c r="CB19" s="514"/>
      <c r="CC19" s="492"/>
      <c r="CD19" s="514"/>
      <c r="CE19" s="492"/>
      <c r="CF19" s="492"/>
      <c r="CG19" s="514"/>
      <c r="CH19" s="492"/>
      <c r="CI19" s="514"/>
      <c r="CJ19" s="492"/>
      <c r="CK19" s="586"/>
      <c r="CL19" s="492"/>
      <c r="CM19" s="492"/>
      <c r="CN19" s="514"/>
      <c r="CO19" s="492"/>
      <c r="CP19" s="514"/>
      <c r="CQ19" s="492"/>
      <c r="CR19" s="514"/>
      <c r="CS19" s="492"/>
      <c r="CT19" s="492"/>
      <c r="CU19" s="586"/>
      <c r="CV19" s="431"/>
      <c r="CW19" s="586"/>
      <c r="CX19" s="431"/>
      <c r="CY19" s="586"/>
      <c r="CZ19" s="431"/>
      <c r="DA19" s="431"/>
      <c r="DB19" s="586"/>
      <c r="DC19" s="431"/>
      <c r="DD19" s="586"/>
      <c r="DE19" s="431"/>
      <c r="DF19" s="586"/>
      <c r="DG19" s="431"/>
      <c r="DH19" s="431"/>
      <c r="DI19" s="431"/>
      <c r="DJ19" s="431"/>
      <c r="DK19" s="431"/>
      <c r="DL19" s="431"/>
      <c r="DM19" s="431"/>
      <c r="DN19" s="431"/>
      <c r="DO19" s="431"/>
      <c r="DP19" s="431"/>
      <c r="DQ19" s="431"/>
      <c r="DR19" s="431"/>
      <c r="DS19" s="431"/>
      <c r="DT19" s="431"/>
      <c r="DU19" s="431"/>
      <c r="DV19" s="431"/>
      <c r="DW19" s="431"/>
      <c r="DX19" s="431"/>
      <c r="DY19" s="431"/>
      <c r="DZ19" s="431"/>
      <c r="EA19" s="431"/>
      <c r="EB19" s="431"/>
      <c r="EC19" s="431"/>
      <c r="ED19" s="431"/>
      <c r="EE19" s="431"/>
      <c r="EF19" s="431"/>
      <c r="EG19" s="431"/>
      <c r="EH19" s="431"/>
      <c r="EI19" s="431"/>
      <c r="EJ19" s="431"/>
      <c r="EK19" s="431"/>
      <c r="EL19" s="431"/>
      <c r="EM19" s="431"/>
      <c r="EN19" s="431"/>
      <c r="EO19" s="431"/>
      <c r="EP19" s="431"/>
      <c r="EQ19" s="431"/>
      <c r="ER19" s="431"/>
      <c r="ES19" s="431"/>
      <c r="ET19" s="431"/>
      <c r="EU19" s="431"/>
      <c r="EV19" s="431"/>
      <c r="EW19" s="431"/>
      <c r="EX19" s="431"/>
      <c r="EY19" s="431"/>
      <c r="EZ19" s="431"/>
      <c r="FA19" s="431"/>
      <c r="FB19" s="431"/>
      <c r="FC19" s="431"/>
      <c r="FD19" s="431"/>
      <c r="FE19" s="431"/>
      <c r="FF19" s="431"/>
      <c r="FG19" s="431"/>
      <c r="FH19" s="431"/>
      <c r="FI19" s="431"/>
      <c r="FJ19" s="431"/>
      <c r="FK19" s="431"/>
      <c r="FL19" s="431"/>
      <c r="FM19" s="431"/>
      <c r="FN19" s="431"/>
      <c r="FO19" s="431"/>
      <c r="FP19" s="431"/>
      <c r="FQ19" s="431"/>
      <c r="FR19" s="431"/>
      <c r="FS19" s="587"/>
    </row>
    <row r="20" spans="1:175" s="511" customFormat="1" ht="26.45" customHeight="1">
      <c r="A20" s="510"/>
      <c r="B20" s="611" t="s">
        <v>384</v>
      </c>
      <c r="C20" s="615" t="s">
        <v>385</v>
      </c>
      <c r="D20" s="613">
        <v>12450000</v>
      </c>
      <c r="F20" s="626">
        <v>45951</v>
      </c>
      <c r="G20" s="512"/>
      <c r="H20" s="150"/>
      <c r="I20" s="302"/>
      <c r="J20" s="150"/>
      <c r="K20" s="690"/>
      <c r="L20" s="684">
        <f t="shared" si="1"/>
        <v>12450000</v>
      </c>
      <c r="M20" s="492"/>
      <c r="N20" s="493"/>
      <c r="O20" s="513"/>
      <c r="P20" s="493"/>
      <c r="Q20" s="513"/>
      <c r="R20" s="493"/>
      <c r="S20" s="513"/>
      <c r="T20" s="493"/>
      <c r="U20" s="493"/>
      <c r="V20" s="513"/>
      <c r="W20" s="493"/>
      <c r="X20" s="694">
        <f t="shared" si="0"/>
        <v>12450000</v>
      </c>
      <c r="Y20" s="492"/>
      <c r="Z20" s="514"/>
      <c r="AA20" s="492"/>
      <c r="AB20" s="492"/>
      <c r="AC20" s="514"/>
      <c r="AD20" s="492"/>
      <c r="AE20" s="514"/>
      <c r="AF20" s="492"/>
      <c r="AG20" s="514"/>
      <c r="AH20" s="492"/>
      <c r="AI20" s="492"/>
      <c r="AJ20" s="514"/>
      <c r="AK20" s="492"/>
      <c r="AL20" s="514"/>
      <c r="AM20" s="492"/>
      <c r="AN20" s="514"/>
      <c r="AO20" s="492"/>
      <c r="AP20" s="492"/>
      <c r="AQ20" s="514"/>
      <c r="AR20" s="492"/>
      <c r="AS20" s="514"/>
      <c r="AT20" s="492"/>
      <c r="AU20" s="514"/>
      <c r="AV20" s="492"/>
      <c r="AW20" s="492"/>
      <c r="AX20" s="514"/>
      <c r="AY20" s="492"/>
      <c r="AZ20" s="514"/>
      <c r="BA20" s="492"/>
      <c r="BB20" s="514"/>
      <c r="BC20" s="492"/>
      <c r="BD20" s="492"/>
      <c r="BE20" s="514"/>
      <c r="BF20" s="492"/>
      <c r="BG20" s="514"/>
      <c r="BH20" s="492"/>
      <c r="BI20" s="514"/>
      <c r="BJ20" s="492"/>
      <c r="BK20" s="492"/>
      <c r="BL20" s="514"/>
      <c r="BM20" s="492"/>
      <c r="BN20" s="514"/>
      <c r="BO20" s="492"/>
      <c r="BP20" s="514"/>
      <c r="BQ20" s="492"/>
      <c r="BR20" s="492"/>
      <c r="BS20" s="514"/>
      <c r="BT20" s="492"/>
      <c r="BU20" s="514"/>
      <c r="BV20" s="492"/>
      <c r="BW20" s="514"/>
      <c r="BX20" s="492"/>
      <c r="BY20" s="492"/>
      <c r="BZ20" s="514"/>
      <c r="CA20" s="492"/>
      <c r="CB20" s="514"/>
      <c r="CC20" s="492"/>
      <c r="CD20" s="514"/>
      <c r="CE20" s="492"/>
      <c r="CF20" s="492"/>
      <c r="CG20" s="514"/>
      <c r="CH20" s="492"/>
      <c r="CI20" s="514"/>
      <c r="CJ20" s="492"/>
      <c r="CK20" s="586"/>
      <c r="CL20" s="492"/>
      <c r="CM20" s="492"/>
      <c r="CN20" s="514"/>
      <c r="CO20" s="492"/>
      <c r="CP20" s="514"/>
      <c r="CQ20" s="492"/>
      <c r="CR20" s="514"/>
      <c r="CS20" s="492"/>
      <c r="CT20" s="492"/>
      <c r="CU20" s="586"/>
      <c r="CV20" s="431"/>
      <c r="CW20" s="586"/>
      <c r="CX20" s="431"/>
      <c r="CY20" s="586"/>
      <c r="CZ20" s="431"/>
      <c r="DA20" s="431"/>
      <c r="DB20" s="586"/>
      <c r="DC20" s="431"/>
      <c r="DD20" s="586"/>
      <c r="DE20" s="431"/>
      <c r="DF20" s="586"/>
      <c r="DG20" s="431"/>
      <c r="DH20" s="431"/>
      <c r="DI20" s="431"/>
      <c r="DJ20" s="431"/>
      <c r="DK20" s="431"/>
      <c r="DL20" s="431"/>
      <c r="DM20" s="431"/>
      <c r="DN20" s="431"/>
      <c r="DO20" s="431"/>
      <c r="DP20" s="431"/>
      <c r="DQ20" s="431"/>
      <c r="DR20" s="431"/>
      <c r="DS20" s="431"/>
      <c r="DT20" s="431"/>
      <c r="DU20" s="431"/>
      <c r="DV20" s="431"/>
      <c r="DW20" s="431"/>
      <c r="DX20" s="431"/>
      <c r="DY20" s="431"/>
      <c r="DZ20" s="431"/>
      <c r="EA20" s="431"/>
      <c r="EB20" s="431"/>
      <c r="EC20" s="431"/>
      <c r="ED20" s="431"/>
      <c r="EE20" s="431"/>
      <c r="EF20" s="431"/>
      <c r="EG20" s="431"/>
      <c r="EH20" s="431"/>
      <c r="EI20" s="431"/>
      <c r="EJ20" s="431"/>
      <c r="EK20" s="431"/>
      <c r="EL20" s="431"/>
      <c r="EM20" s="431"/>
      <c r="EN20" s="431"/>
      <c r="EO20" s="431"/>
      <c r="EP20" s="431"/>
      <c r="EQ20" s="431"/>
      <c r="ER20" s="431"/>
      <c r="ES20" s="431"/>
      <c r="ET20" s="431"/>
      <c r="EU20" s="431"/>
      <c r="EV20" s="431"/>
      <c r="EW20" s="431"/>
      <c r="EX20" s="431"/>
      <c r="EY20" s="431"/>
      <c r="EZ20" s="431"/>
      <c r="FA20" s="431"/>
      <c r="FB20" s="431"/>
      <c r="FC20" s="431"/>
      <c r="FD20" s="431"/>
      <c r="FE20" s="431"/>
      <c r="FF20" s="431"/>
      <c r="FG20" s="431"/>
      <c r="FH20" s="431"/>
      <c r="FI20" s="431"/>
      <c r="FJ20" s="431"/>
      <c r="FK20" s="431"/>
      <c r="FL20" s="431"/>
      <c r="FM20" s="431"/>
      <c r="FN20" s="431"/>
      <c r="FO20" s="431"/>
      <c r="FP20" s="431"/>
      <c r="FQ20" s="431"/>
      <c r="FR20" s="431"/>
      <c r="FS20" s="587"/>
    </row>
    <row r="21" spans="1:175" s="511" customFormat="1" ht="26.45" customHeight="1">
      <c r="A21" s="510"/>
      <c r="B21" s="616" t="s">
        <v>386</v>
      </c>
      <c r="C21" s="617" t="s">
        <v>387</v>
      </c>
      <c r="D21" s="613">
        <v>575000</v>
      </c>
      <c r="F21" s="626">
        <v>45951</v>
      </c>
      <c r="G21" s="512"/>
      <c r="H21" s="150"/>
      <c r="I21" s="302"/>
      <c r="J21" s="150"/>
      <c r="K21" s="690"/>
      <c r="L21" s="684">
        <f t="shared" si="1"/>
        <v>575000</v>
      </c>
      <c r="M21" s="492"/>
      <c r="N21" s="493"/>
      <c r="O21" s="513"/>
      <c r="P21" s="493"/>
      <c r="Q21" s="513"/>
      <c r="R21" s="493"/>
      <c r="S21" s="513"/>
      <c r="T21" s="493"/>
      <c r="U21" s="493"/>
      <c r="V21" s="513"/>
      <c r="W21" s="493"/>
      <c r="X21" s="694">
        <f t="shared" si="0"/>
        <v>575000</v>
      </c>
      <c r="Y21" s="492"/>
      <c r="Z21" s="514"/>
      <c r="AA21" s="492"/>
      <c r="AB21" s="492"/>
      <c r="AC21" s="514"/>
      <c r="AD21" s="492"/>
      <c r="AE21" s="514"/>
      <c r="AF21" s="492"/>
      <c r="AG21" s="514"/>
      <c r="AH21" s="492"/>
      <c r="AI21" s="492"/>
      <c r="AJ21" s="514"/>
      <c r="AK21" s="492"/>
      <c r="AL21" s="514"/>
      <c r="AM21" s="492"/>
      <c r="AN21" s="514"/>
      <c r="AO21" s="492"/>
      <c r="AP21" s="492"/>
      <c r="AQ21" s="514"/>
      <c r="AR21" s="492"/>
      <c r="AS21" s="514"/>
      <c r="AT21" s="492"/>
      <c r="AU21" s="514"/>
      <c r="AV21" s="492"/>
      <c r="AW21" s="492"/>
      <c r="AX21" s="514"/>
      <c r="AY21" s="492"/>
      <c r="AZ21" s="514"/>
      <c r="BA21" s="492"/>
      <c r="BB21" s="514"/>
      <c r="BC21" s="492"/>
      <c r="BD21" s="492"/>
      <c r="BE21" s="514"/>
      <c r="BF21" s="492"/>
      <c r="BG21" s="514"/>
      <c r="BH21" s="492"/>
      <c r="BI21" s="514"/>
      <c r="BJ21" s="492"/>
      <c r="BK21" s="492"/>
      <c r="BL21" s="514"/>
      <c r="BM21" s="492"/>
      <c r="BN21" s="514"/>
      <c r="BO21" s="492"/>
      <c r="BP21" s="514"/>
      <c r="BQ21" s="492"/>
      <c r="BR21" s="492"/>
      <c r="BS21" s="514"/>
      <c r="BT21" s="492"/>
      <c r="BU21" s="514"/>
      <c r="BV21" s="492"/>
      <c r="BW21" s="514"/>
      <c r="BX21" s="492"/>
      <c r="BY21" s="492"/>
      <c r="BZ21" s="514"/>
      <c r="CA21" s="492"/>
      <c r="CB21" s="514"/>
      <c r="CC21" s="492"/>
      <c r="CD21" s="514"/>
      <c r="CE21" s="492"/>
      <c r="CF21" s="492"/>
      <c r="CG21" s="514"/>
      <c r="CH21" s="492"/>
      <c r="CI21" s="514"/>
      <c r="CJ21" s="492"/>
      <c r="CK21" s="586"/>
      <c r="CL21" s="492"/>
      <c r="CM21" s="492"/>
      <c r="CN21" s="514"/>
      <c r="CO21" s="492"/>
      <c r="CP21" s="514"/>
      <c r="CQ21" s="492"/>
      <c r="CR21" s="514"/>
      <c r="CS21" s="492"/>
      <c r="CT21" s="492"/>
      <c r="CU21" s="586"/>
      <c r="CV21" s="431"/>
      <c r="CW21" s="586"/>
      <c r="CX21" s="431"/>
      <c r="CY21" s="586"/>
      <c r="CZ21" s="431"/>
      <c r="DA21" s="431"/>
      <c r="DB21" s="586"/>
      <c r="DC21" s="431"/>
      <c r="DD21" s="586"/>
      <c r="DE21" s="431"/>
      <c r="DF21" s="586"/>
      <c r="DG21" s="431"/>
      <c r="DH21" s="431"/>
      <c r="DI21" s="431"/>
      <c r="DJ21" s="431"/>
      <c r="DK21" s="431"/>
      <c r="DL21" s="431"/>
      <c r="DM21" s="431"/>
      <c r="DN21" s="431"/>
      <c r="DO21" s="431"/>
      <c r="DP21" s="431"/>
      <c r="DQ21" s="431"/>
      <c r="DR21" s="431"/>
      <c r="DS21" s="431"/>
      <c r="DT21" s="431"/>
      <c r="DU21" s="431"/>
      <c r="DV21" s="431"/>
      <c r="DW21" s="431"/>
      <c r="DX21" s="431"/>
      <c r="DY21" s="431"/>
      <c r="DZ21" s="431"/>
      <c r="EA21" s="431"/>
      <c r="EB21" s="431"/>
      <c r="EC21" s="431"/>
      <c r="ED21" s="431"/>
      <c r="EE21" s="431"/>
      <c r="EF21" s="431"/>
      <c r="EG21" s="431"/>
      <c r="EH21" s="431"/>
      <c r="EI21" s="431"/>
      <c r="EJ21" s="431"/>
      <c r="EK21" s="431"/>
      <c r="EL21" s="431"/>
      <c r="EM21" s="431"/>
      <c r="EN21" s="431"/>
      <c r="EO21" s="431"/>
      <c r="EP21" s="431"/>
      <c r="EQ21" s="431"/>
      <c r="ER21" s="431"/>
      <c r="ES21" s="431"/>
      <c r="ET21" s="431"/>
      <c r="EU21" s="431"/>
      <c r="EV21" s="431"/>
      <c r="EW21" s="431"/>
      <c r="EX21" s="431"/>
      <c r="EY21" s="431"/>
      <c r="EZ21" s="431"/>
      <c r="FA21" s="431"/>
      <c r="FB21" s="431"/>
      <c r="FC21" s="431"/>
      <c r="FD21" s="431"/>
      <c r="FE21" s="431"/>
      <c r="FF21" s="431"/>
      <c r="FG21" s="431"/>
      <c r="FH21" s="431"/>
      <c r="FI21" s="431"/>
      <c r="FJ21" s="431"/>
      <c r="FK21" s="431"/>
      <c r="FL21" s="431"/>
      <c r="FM21" s="431"/>
      <c r="FN21" s="431"/>
      <c r="FO21" s="431"/>
      <c r="FP21" s="431"/>
      <c r="FQ21" s="431"/>
      <c r="FR21" s="431"/>
      <c r="FS21" s="587"/>
    </row>
    <row r="22" spans="1:175" s="511" customFormat="1" ht="26.45" customHeight="1">
      <c r="A22" s="510"/>
      <c r="B22" s="620" t="s">
        <v>388</v>
      </c>
      <c r="C22" s="624" t="s">
        <v>389</v>
      </c>
      <c r="D22" s="613">
        <v>329000</v>
      </c>
      <c r="F22" s="626">
        <v>45951</v>
      </c>
      <c r="G22" s="512"/>
      <c r="H22" s="150"/>
      <c r="I22" s="302"/>
      <c r="J22" s="150"/>
      <c r="K22" s="690"/>
      <c r="L22" s="684">
        <f t="shared" si="1"/>
        <v>329000</v>
      </c>
      <c r="M22" s="492"/>
      <c r="N22" s="493"/>
      <c r="O22" s="513"/>
      <c r="P22" s="493"/>
      <c r="Q22" s="513"/>
      <c r="R22" s="493"/>
      <c r="S22" s="513"/>
      <c r="T22" s="493"/>
      <c r="U22" s="493"/>
      <c r="V22" s="513"/>
      <c r="W22" s="493"/>
      <c r="X22" s="694">
        <f t="shared" si="0"/>
        <v>329000</v>
      </c>
      <c r="Y22" s="492"/>
      <c r="Z22" s="514"/>
      <c r="AA22" s="492"/>
      <c r="AB22" s="492"/>
      <c r="AC22" s="514"/>
      <c r="AD22" s="492"/>
      <c r="AE22" s="514"/>
      <c r="AF22" s="492"/>
      <c r="AG22" s="514"/>
      <c r="AH22" s="492"/>
      <c r="AI22" s="492"/>
      <c r="AJ22" s="514"/>
      <c r="AK22" s="492"/>
      <c r="AL22" s="514"/>
      <c r="AM22" s="492"/>
      <c r="AN22" s="514"/>
      <c r="AO22" s="492"/>
      <c r="AP22" s="492"/>
      <c r="AQ22" s="514"/>
      <c r="AR22" s="492"/>
      <c r="AS22" s="514"/>
      <c r="AT22" s="492"/>
      <c r="AU22" s="514"/>
      <c r="AV22" s="492"/>
      <c r="AW22" s="492"/>
      <c r="AX22" s="514"/>
      <c r="AY22" s="492"/>
      <c r="AZ22" s="514"/>
      <c r="BA22" s="492"/>
      <c r="BB22" s="514"/>
      <c r="BC22" s="492"/>
      <c r="BD22" s="492"/>
      <c r="BE22" s="514"/>
      <c r="BF22" s="492"/>
      <c r="BG22" s="514"/>
      <c r="BH22" s="492"/>
      <c r="BI22" s="514"/>
      <c r="BJ22" s="492"/>
      <c r="BK22" s="492"/>
      <c r="BL22" s="514"/>
      <c r="BM22" s="492"/>
      <c r="BN22" s="514"/>
      <c r="BO22" s="492"/>
      <c r="BP22" s="514"/>
      <c r="BQ22" s="492"/>
      <c r="BR22" s="492"/>
      <c r="BS22" s="514"/>
      <c r="BT22" s="492"/>
      <c r="BU22" s="514"/>
      <c r="BV22" s="492"/>
      <c r="BW22" s="514"/>
      <c r="BX22" s="492"/>
      <c r="BY22" s="492"/>
      <c r="BZ22" s="514"/>
      <c r="CA22" s="492"/>
      <c r="CB22" s="514"/>
      <c r="CC22" s="492"/>
      <c r="CD22" s="514"/>
      <c r="CE22" s="492"/>
      <c r="CF22" s="492"/>
      <c r="CG22" s="514"/>
      <c r="CH22" s="492"/>
      <c r="CI22" s="514"/>
      <c r="CJ22" s="492"/>
      <c r="CK22" s="586"/>
      <c r="CL22" s="492"/>
      <c r="CM22" s="492"/>
      <c r="CN22" s="514"/>
      <c r="CO22" s="492"/>
      <c r="CP22" s="514"/>
      <c r="CQ22" s="492"/>
      <c r="CR22" s="514"/>
      <c r="CS22" s="492"/>
      <c r="CT22" s="492"/>
      <c r="CU22" s="586"/>
      <c r="CV22" s="431"/>
      <c r="CW22" s="586"/>
      <c r="CX22" s="431"/>
      <c r="CY22" s="586"/>
      <c r="CZ22" s="431"/>
      <c r="DA22" s="431"/>
      <c r="DB22" s="586"/>
      <c r="DC22" s="431"/>
      <c r="DD22" s="586"/>
      <c r="DE22" s="431"/>
      <c r="DF22" s="586"/>
      <c r="DG22" s="431"/>
      <c r="DH22" s="431"/>
      <c r="DI22" s="431"/>
      <c r="DJ22" s="431"/>
      <c r="DK22" s="431"/>
      <c r="DL22" s="431"/>
      <c r="DM22" s="431"/>
      <c r="DN22" s="431"/>
      <c r="DO22" s="431"/>
      <c r="DP22" s="431"/>
      <c r="DQ22" s="431"/>
      <c r="DR22" s="431"/>
      <c r="DS22" s="431"/>
      <c r="DT22" s="431"/>
      <c r="DU22" s="431"/>
      <c r="DV22" s="431"/>
      <c r="DW22" s="431"/>
      <c r="DX22" s="431"/>
      <c r="DY22" s="431"/>
      <c r="DZ22" s="431"/>
      <c r="EA22" s="431"/>
      <c r="EB22" s="431"/>
      <c r="EC22" s="431"/>
      <c r="ED22" s="431"/>
      <c r="EE22" s="431"/>
      <c r="EF22" s="431"/>
      <c r="EG22" s="431"/>
      <c r="EH22" s="431"/>
      <c r="EI22" s="431"/>
      <c r="EJ22" s="431"/>
      <c r="EK22" s="431"/>
      <c r="EL22" s="431"/>
      <c r="EM22" s="431"/>
      <c r="EN22" s="431"/>
      <c r="EO22" s="431"/>
      <c r="EP22" s="431"/>
      <c r="EQ22" s="431"/>
      <c r="ER22" s="431"/>
      <c r="ES22" s="431"/>
      <c r="ET22" s="431"/>
      <c r="EU22" s="431"/>
      <c r="EV22" s="431"/>
      <c r="EW22" s="431"/>
      <c r="EX22" s="431"/>
      <c r="EY22" s="431"/>
      <c r="EZ22" s="431"/>
      <c r="FA22" s="431"/>
      <c r="FB22" s="431"/>
      <c r="FC22" s="431"/>
      <c r="FD22" s="431"/>
      <c r="FE22" s="431"/>
      <c r="FF22" s="431"/>
      <c r="FG22" s="431"/>
      <c r="FH22" s="431"/>
      <c r="FI22" s="431"/>
      <c r="FJ22" s="431"/>
      <c r="FK22" s="431"/>
      <c r="FL22" s="431"/>
      <c r="FM22" s="431"/>
      <c r="FN22" s="431"/>
      <c r="FO22" s="431"/>
      <c r="FP22" s="431"/>
      <c r="FQ22" s="431"/>
      <c r="FR22" s="431"/>
      <c r="FS22" s="587"/>
    </row>
    <row r="23" spans="1:175" s="511" customFormat="1" ht="26.45" customHeight="1">
      <c r="A23" s="510"/>
      <c r="B23" s="620" t="s">
        <v>390</v>
      </c>
      <c r="C23" s="624" t="s">
        <v>391</v>
      </c>
      <c r="D23" s="613">
        <v>392000</v>
      </c>
      <c r="F23" s="626">
        <v>45951</v>
      </c>
      <c r="G23" s="512"/>
      <c r="H23" s="150"/>
      <c r="I23" s="302"/>
      <c r="J23" s="150"/>
      <c r="K23" s="690"/>
      <c r="L23" s="684">
        <f t="shared" si="1"/>
        <v>392000</v>
      </c>
      <c r="M23" s="492"/>
      <c r="N23" s="493"/>
      <c r="O23" s="513"/>
      <c r="P23" s="493"/>
      <c r="Q23" s="513"/>
      <c r="R23" s="493"/>
      <c r="S23" s="513"/>
      <c r="T23" s="493"/>
      <c r="U23" s="493"/>
      <c r="V23" s="513"/>
      <c r="W23" s="493"/>
      <c r="X23" s="694">
        <f t="shared" si="0"/>
        <v>392000</v>
      </c>
      <c r="Y23" s="492"/>
      <c r="Z23" s="514"/>
      <c r="AA23" s="492"/>
      <c r="AB23" s="492"/>
      <c r="AC23" s="514"/>
      <c r="AD23" s="492"/>
      <c r="AE23" s="514"/>
      <c r="AF23" s="492"/>
      <c r="AG23" s="514"/>
      <c r="AH23" s="492"/>
      <c r="AI23" s="492"/>
      <c r="AJ23" s="514"/>
      <c r="AK23" s="492"/>
      <c r="AL23" s="514"/>
      <c r="AM23" s="492"/>
      <c r="AN23" s="514"/>
      <c r="AO23" s="492"/>
      <c r="AP23" s="492"/>
      <c r="AQ23" s="514"/>
      <c r="AR23" s="492"/>
      <c r="AS23" s="514"/>
      <c r="AT23" s="492"/>
      <c r="AU23" s="514"/>
      <c r="AV23" s="492"/>
      <c r="AW23" s="492"/>
      <c r="AX23" s="514"/>
      <c r="AY23" s="492"/>
      <c r="AZ23" s="514"/>
      <c r="BA23" s="492"/>
      <c r="BB23" s="514"/>
      <c r="BC23" s="492"/>
      <c r="BD23" s="492"/>
      <c r="BE23" s="514"/>
      <c r="BF23" s="492"/>
      <c r="BG23" s="514"/>
      <c r="BH23" s="492"/>
      <c r="BI23" s="514"/>
      <c r="BJ23" s="492"/>
      <c r="BK23" s="492"/>
      <c r="BL23" s="514"/>
      <c r="BM23" s="492"/>
      <c r="BN23" s="514"/>
      <c r="BO23" s="492"/>
      <c r="BP23" s="514"/>
      <c r="BQ23" s="492"/>
      <c r="BR23" s="492"/>
      <c r="BS23" s="514"/>
      <c r="BT23" s="492"/>
      <c r="BU23" s="514"/>
      <c r="BV23" s="492"/>
      <c r="BW23" s="514"/>
      <c r="BX23" s="492"/>
      <c r="BY23" s="492"/>
      <c r="BZ23" s="514"/>
      <c r="CA23" s="492"/>
      <c r="CB23" s="514"/>
      <c r="CC23" s="492"/>
      <c r="CD23" s="514"/>
      <c r="CE23" s="492"/>
      <c r="CF23" s="492"/>
      <c r="CG23" s="514"/>
      <c r="CH23" s="492"/>
      <c r="CI23" s="514"/>
      <c r="CJ23" s="492"/>
      <c r="CK23" s="586"/>
      <c r="CL23" s="492"/>
      <c r="CM23" s="492"/>
      <c r="CN23" s="514"/>
      <c r="CO23" s="492"/>
      <c r="CP23" s="514"/>
      <c r="CQ23" s="492"/>
      <c r="CR23" s="514"/>
      <c r="CS23" s="492"/>
      <c r="CT23" s="492"/>
      <c r="CU23" s="586"/>
      <c r="CV23" s="431"/>
      <c r="CW23" s="586"/>
      <c r="CX23" s="431"/>
      <c r="CY23" s="586"/>
      <c r="CZ23" s="431"/>
      <c r="DA23" s="431"/>
      <c r="DB23" s="586"/>
      <c r="DC23" s="431"/>
      <c r="DD23" s="586"/>
      <c r="DE23" s="431"/>
      <c r="DF23" s="586"/>
      <c r="DG23" s="431"/>
      <c r="DH23" s="431"/>
      <c r="DI23" s="431"/>
      <c r="DJ23" s="431"/>
      <c r="DK23" s="431"/>
      <c r="DL23" s="431"/>
      <c r="DM23" s="431"/>
      <c r="DN23" s="431"/>
      <c r="DO23" s="431"/>
      <c r="DP23" s="431"/>
      <c r="DQ23" s="431"/>
      <c r="DR23" s="431"/>
      <c r="DS23" s="431"/>
      <c r="DT23" s="431"/>
      <c r="DU23" s="431"/>
      <c r="DV23" s="431"/>
      <c r="DW23" s="431"/>
      <c r="DX23" s="431"/>
      <c r="DY23" s="431"/>
      <c r="DZ23" s="431"/>
      <c r="EA23" s="431"/>
      <c r="EB23" s="431"/>
      <c r="EC23" s="431"/>
      <c r="ED23" s="431"/>
      <c r="EE23" s="431"/>
      <c r="EF23" s="431"/>
      <c r="EG23" s="431"/>
      <c r="EH23" s="431"/>
      <c r="EI23" s="431"/>
      <c r="EJ23" s="431"/>
      <c r="EK23" s="431"/>
      <c r="EL23" s="431"/>
      <c r="EM23" s="431"/>
      <c r="EN23" s="431"/>
      <c r="EO23" s="431"/>
      <c r="EP23" s="431"/>
      <c r="EQ23" s="431"/>
      <c r="ER23" s="431"/>
      <c r="ES23" s="431"/>
      <c r="ET23" s="431"/>
      <c r="EU23" s="431"/>
      <c r="EV23" s="431"/>
      <c r="EW23" s="431"/>
      <c r="EX23" s="431"/>
      <c r="EY23" s="431"/>
      <c r="EZ23" s="431"/>
      <c r="FA23" s="431"/>
      <c r="FB23" s="431"/>
      <c r="FC23" s="431"/>
      <c r="FD23" s="431"/>
      <c r="FE23" s="431"/>
      <c r="FF23" s="431"/>
      <c r="FG23" s="431"/>
      <c r="FH23" s="431"/>
      <c r="FI23" s="431"/>
      <c r="FJ23" s="431"/>
      <c r="FK23" s="431"/>
      <c r="FL23" s="431"/>
      <c r="FM23" s="431"/>
      <c r="FN23" s="431"/>
      <c r="FO23" s="431"/>
      <c r="FP23" s="431"/>
      <c r="FQ23" s="431"/>
      <c r="FR23" s="431"/>
      <c r="FS23" s="587"/>
    </row>
    <row r="24" spans="1:175" s="511" customFormat="1" ht="26.45" customHeight="1">
      <c r="A24" s="510"/>
      <c r="B24" s="623" t="s">
        <v>392</v>
      </c>
      <c r="C24" s="624" t="s">
        <v>393</v>
      </c>
      <c r="D24" s="613">
        <v>87400</v>
      </c>
      <c r="F24" s="626">
        <v>45951</v>
      </c>
      <c r="G24" s="512"/>
      <c r="H24" s="150"/>
      <c r="I24" s="302"/>
      <c r="J24" s="150"/>
      <c r="K24" s="690"/>
      <c r="L24" s="684">
        <f t="shared" si="1"/>
        <v>87400</v>
      </c>
      <c r="M24" s="492"/>
      <c r="N24" s="493"/>
      <c r="O24" s="513"/>
      <c r="P24" s="493"/>
      <c r="Q24" s="513"/>
      <c r="R24" s="493"/>
      <c r="S24" s="513"/>
      <c r="T24" s="493"/>
      <c r="U24" s="493"/>
      <c r="V24" s="513"/>
      <c r="W24" s="493"/>
      <c r="X24" s="694">
        <f t="shared" si="0"/>
        <v>87400</v>
      </c>
      <c r="Y24" s="492"/>
      <c r="Z24" s="514"/>
      <c r="AA24" s="492"/>
      <c r="AB24" s="492"/>
      <c r="AC24" s="514"/>
      <c r="AD24" s="492"/>
      <c r="AE24" s="514"/>
      <c r="AF24" s="492"/>
      <c r="AG24" s="514"/>
      <c r="AH24" s="492"/>
      <c r="AI24" s="492"/>
      <c r="AJ24" s="514"/>
      <c r="AK24" s="492"/>
      <c r="AL24" s="514"/>
      <c r="AM24" s="492"/>
      <c r="AN24" s="514"/>
      <c r="AO24" s="492"/>
      <c r="AP24" s="492"/>
      <c r="AQ24" s="514"/>
      <c r="AR24" s="492"/>
      <c r="AS24" s="514"/>
      <c r="AT24" s="492"/>
      <c r="AU24" s="514"/>
      <c r="AV24" s="492"/>
      <c r="AW24" s="492"/>
      <c r="AX24" s="514"/>
      <c r="AY24" s="492"/>
      <c r="AZ24" s="514"/>
      <c r="BA24" s="492"/>
      <c r="BB24" s="514"/>
      <c r="BC24" s="492"/>
      <c r="BD24" s="492"/>
      <c r="BE24" s="514"/>
      <c r="BF24" s="492"/>
      <c r="BG24" s="514"/>
      <c r="BH24" s="492"/>
      <c r="BI24" s="514"/>
      <c r="BJ24" s="492"/>
      <c r="BK24" s="492"/>
      <c r="BL24" s="514"/>
      <c r="BM24" s="492"/>
      <c r="BN24" s="514"/>
      <c r="BO24" s="492"/>
      <c r="BP24" s="514"/>
      <c r="BQ24" s="492"/>
      <c r="BR24" s="492"/>
      <c r="BS24" s="514"/>
      <c r="BT24" s="492"/>
      <c r="BU24" s="514"/>
      <c r="BV24" s="492"/>
      <c r="BW24" s="514"/>
      <c r="BX24" s="492"/>
      <c r="BY24" s="492"/>
      <c r="BZ24" s="514"/>
      <c r="CA24" s="492"/>
      <c r="CB24" s="514"/>
      <c r="CC24" s="492"/>
      <c r="CD24" s="514"/>
      <c r="CE24" s="492"/>
      <c r="CF24" s="492"/>
      <c r="CG24" s="514"/>
      <c r="CH24" s="492"/>
      <c r="CI24" s="514"/>
      <c r="CJ24" s="492"/>
      <c r="CK24" s="586"/>
      <c r="CL24" s="492"/>
      <c r="CM24" s="492"/>
      <c r="CN24" s="514"/>
      <c r="CO24" s="492"/>
      <c r="CP24" s="514"/>
      <c r="CQ24" s="492"/>
      <c r="CR24" s="514"/>
      <c r="CS24" s="492"/>
      <c r="CT24" s="492"/>
      <c r="CU24" s="586"/>
      <c r="CV24" s="431"/>
      <c r="CW24" s="586"/>
      <c r="CX24" s="431"/>
      <c r="CY24" s="586"/>
      <c r="CZ24" s="431"/>
      <c r="DA24" s="431"/>
      <c r="DB24" s="586"/>
      <c r="DC24" s="431"/>
      <c r="DD24" s="586"/>
      <c r="DE24" s="431"/>
      <c r="DF24" s="586"/>
      <c r="DG24" s="431"/>
      <c r="DH24" s="431"/>
      <c r="DI24" s="431"/>
      <c r="DJ24" s="431"/>
      <c r="DK24" s="431"/>
      <c r="DL24" s="431"/>
      <c r="DM24" s="431"/>
      <c r="DN24" s="431"/>
      <c r="DO24" s="431"/>
      <c r="DP24" s="431"/>
      <c r="DQ24" s="431"/>
      <c r="DR24" s="431"/>
      <c r="DS24" s="431"/>
      <c r="DT24" s="431"/>
      <c r="DU24" s="431"/>
      <c r="DV24" s="431"/>
      <c r="DW24" s="431"/>
      <c r="DX24" s="431"/>
      <c r="DY24" s="431"/>
      <c r="DZ24" s="431"/>
      <c r="EA24" s="431"/>
      <c r="EB24" s="431"/>
      <c r="EC24" s="431"/>
      <c r="ED24" s="431"/>
      <c r="EE24" s="431"/>
      <c r="EF24" s="431"/>
      <c r="EG24" s="431"/>
      <c r="EH24" s="431"/>
      <c r="EI24" s="431"/>
      <c r="EJ24" s="431"/>
      <c r="EK24" s="431"/>
      <c r="EL24" s="431"/>
      <c r="EM24" s="431"/>
      <c r="EN24" s="431"/>
      <c r="EO24" s="431"/>
      <c r="EP24" s="431"/>
      <c r="EQ24" s="431"/>
      <c r="ER24" s="431"/>
      <c r="ES24" s="431"/>
      <c r="ET24" s="431"/>
      <c r="EU24" s="431"/>
      <c r="EV24" s="431"/>
      <c r="EW24" s="431"/>
      <c r="EX24" s="431"/>
      <c r="EY24" s="431"/>
      <c r="EZ24" s="431"/>
      <c r="FA24" s="431"/>
      <c r="FB24" s="431"/>
      <c r="FC24" s="431"/>
      <c r="FD24" s="431"/>
      <c r="FE24" s="431"/>
      <c r="FF24" s="431"/>
      <c r="FG24" s="431"/>
      <c r="FH24" s="431"/>
      <c r="FI24" s="431"/>
      <c r="FJ24" s="431"/>
      <c r="FK24" s="431"/>
      <c r="FL24" s="431"/>
      <c r="FM24" s="431"/>
      <c r="FN24" s="431"/>
      <c r="FO24" s="431"/>
      <c r="FP24" s="431"/>
      <c r="FQ24" s="431"/>
      <c r="FR24" s="431"/>
      <c r="FS24" s="587"/>
    </row>
    <row r="25" spans="1:175" s="511" customFormat="1" ht="26.45" customHeight="1">
      <c r="A25" s="510"/>
      <c r="B25" s="620" t="s">
        <v>394</v>
      </c>
      <c r="C25" s="624" t="s">
        <v>395</v>
      </c>
      <c r="D25" s="613">
        <v>200000</v>
      </c>
      <c r="F25" s="626">
        <v>45951</v>
      </c>
      <c r="G25" s="512"/>
      <c r="H25" s="150"/>
      <c r="I25" s="302"/>
      <c r="J25" s="150"/>
      <c r="K25" s="690"/>
      <c r="L25" s="684">
        <f t="shared" si="1"/>
        <v>200000</v>
      </c>
      <c r="M25" s="492"/>
      <c r="N25" s="493"/>
      <c r="O25" s="513"/>
      <c r="P25" s="493"/>
      <c r="Q25" s="513"/>
      <c r="R25" s="493"/>
      <c r="S25" s="513"/>
      <c r="T25" s="493"/>
      <c r="U25" s="493"/>
      <c r="V25" s="513"/>
      <c r="W25" s="493"/>
      <c r="X25" s="694">
        <f t="shared" si="0"/>
        <v>200000</v>
      </c>
      <c r="Y25" s="492"/>
      <c r="Z25" s="514"/>
      <c r="AA25" s="492"/>
      <c r="AB25" s="492"/>
      <c r="AC25" s="514"/>
      <c r="AD25" s="492"/>
      <c r="AE25" s="514"/>
      <c r="AF25" s="492"/>
      <c r="AG25" s="514"/>
      <c r="AH25" s="492"/>
      <c r="AI25" s="492"/>
      <c r="AJ25" s="514"/>
      <c r="AK25" s="492"/>
      <c r="AL25" s="514"/>
      <c r="AM25" s="492"/>
      <c r="AN25" s="514"/>
      <c r="AO25" s="492"/>
      <c r="AP25" s="492"/>
      <c r="AQ25" s="514"/>
      <c r="AR25" s="492"/>
      <c r="AS25" s="514"/>
      <c r="AT25" s="492"/>
      <c r="AU25" s="514"/>
      <c r="AV25" s="492"/>
      <c r="AW25" s="492"/>
      <c r="AX25" s="514"/>
      <c r="AY25" s="492"/>
      <c r="AZ25" s="514"/>
      <c r="BA25" s="492"/>
      <c r="BB25" s="514"/>
      <c r="BC25" s="492"/>
      <c r="BD25" s="492"/>
      <c r="BE25" s="514"/>
      <c r="BF25" s="492"/>
      <c r="BG25" s="514"/>
      <c r="BH25" s="492"/>
      <c r="BI25" s="514"/>
      <c r="BJ25" s="492"/>
      <c r="BK25" s="492"/>
      <c r="BL25" s="514"/>
      <c r="BM25" s="492"/>
      <c r="BN25" s="514"/>
      <c r="BO25" s="492"/>
      <c r="BP25" s="514"/>
      <c r="BQ25" s="492"/>
      <c r="BR25" s="492"/>
      <c r="BS25" s="514"/>
      <c r="BT25" s="492"/>
      <c r="BU25" s="514"/>
      <c r="BV25" s="492"/>
      <c r="BW25" s="514"/>
      <c r="BX25" s="492"/>
      <c r="BY25" s="492"/>
      <c r="BZ25" s="514"/>
      <c r="CA25" s="492"/>
      <c r="CB25" s="514"/>
      <c r="CC25" s="492"/>
      <c r="CD25" s="514"/>
      <c r="CE25" s="492"/>
      <c r="CF25" s="492"/>
      <c r="CG25" s="514"/>
      <c r="CH25" s="492"/>
      <c r="CI25" s="514"/>
      <c r="CJ25" s="492"/>
      <c r="CK25" s="586"/>
      <c r="CL25" s="492"/>
      <c r="CM25" s="492"/>
      <c r="CN25" s="514"/>
      <c r="CO25" s="492"/>
      <c r="CP25" s="514"/>
      <c r="CQ25" s="492"/>
      <c r="CR25" s="514"/>
      <c r="CS25" s="492"/>
      <c r="CT25" s="492"/>
      <c r="CU25" s="586"/>
      <c r="CV25" s="431"/>
      <c r="CW25" s="586"/>
      <c r="CX25" s="431"/>
      <c r="CY25" s="586"/>
      <c r="CZ25" s="431"/>
      <c r="DA25" s="431"/>
      <c r="DB25" s="586"/>
      <c r="DC25" s="431"/>
      <c r="DD25" s="586"/>
      <c r="DE25" s="431"/>
      <c r="DF25" s="586"/>
      <c r="DG25" s="431"/>
      <c r="DH25" s="431"/>
      <c r="DI25" s="431"/>
      <c r="DJ25" s="431"/>
      <c r="DK25" s="431"/>
      <c r="DL25" s="431"/>
      <c r="DM25" s="431"/>
      <c r="DN25" s="431"/>
      <c r="DO25" s="431"/>
      <c r="DP25" s="431"/>
      <c r="DQ25" s="431"/>
      <c r="DR25" s="431"/>
      <c r="DS25" s="431"/>
      <c r="DT25" s="431"/>
      <c r="DU25" s="431"/>
      <c r="DV25" s="431"/>
      <c r="DW25" s="431"/>
      <c r="DX25" s="431"/>
      <c r="DY25" s="431"/>
      <c r="DZ25" s="431"/>
      <c r="EA25" s="431"/>
      <c r="EB25" s="431"/>
      <c r="EC25" s="431"/>
      <c r="ED25" s="431"/>
      <c r="EE25" s="431"/>
      <c r="EF25" s="431"/>
      <c r="EG25" s="431"/>
      <c r="EH25" s="431"/>
      <c r="EI25" s="431"/>
      <c r="EJ25" s="431"/>
      <c r="EK25" s="431"/>
      <c r="EL25" s="431"/>
      <c r="EM25" s="431"/>
      <c r="EN25" s="431"/>
      <c r="EO25" s="431"/>
      <c r="EP25" s="431"/>
      <c r="EQ25" s="431"/>
      <c r="ER25" s="431"/>
      <c r="ES25" s="431"/>
      <c r="ET25" s="431"/>
      <c r="EU25" s="431"/>
      <c r="EV25" s="431"/>
      <c r="EW25" s="431"/>
      <c r="EX25" s="431"/>
      <c r="EY25" s="431"/>
      <c r="EZ25" s="431"/>
      <c r="FA25" s="431"/>
      <c r="FB25" s="431"/>
      <c r="FC25" s="431"/>
      <c r="FD25" s="431"/>
      <c r="FE25" s="431"/>
      <c r="FF25" s="431"/>
      <c r="FG25" s="431"/>
      <c r="FH25" s="431"/>
      <c r="FI25" s="431"/>
      <c r="FJ25" s="431"/>
      <c r="FK25" s="431"/>
      <c r="FL25" s="431"/>
      <c r="FM25" s="431"/>
      <c r="FN25" s="431"/>
      <c r="FO25" s="431"/>
      <c r="FP25" s="431"/>
      <c r="FQ25" s="431"/>
      <c r="FR25" s="431"/>
      <c r="FS25" s="587"/>
    </row>
    <row r="26" spans="1:175" s="511" customFormat="1" ht="26.45" customHeight="1">
      <c r="A26" s="510"/>
      <c r="B26" s="616" t="s">
        <v>396</v>
      </c>
      <c r="C26" s="615" t="s">
        <v>397</v>
      </c>
      <c r="D26" s="613">
        <v>35538750</v>
      </c>
      <c r="F26" s="626">
        <v>45951</v>
      </c>
      <c r="G26" s="512"/>
      <c r="H26" s="150"/>
      <c r="I26" s="302"/>
      <c r="J26" s="150"/>
      <c r="K26" s="690"/>
      <c r="L26" s="684">
        <f>D26</f>
        <v>35538750</v>
      </c>
      <c r="M26" s="492"/>
      <c r="N26" s="493"/>
      <c r="O26" s="513"/>
      <c r="P26" s="493"/>
      <c r="Q26" s="513"/>
      <c r="R26" s="493"/>
      <c r="S26" s="513"/>
      <c r="T26" s="493"/>
      <c r="U26" s="493"/>
      <c r="V26" s="513"/>
      <c r="W26" s="493"/>
      <c r="X26" s="694">
        <f t="shared" si="0"/>
        <v>35538750</v>
      </c>
      <c r="Y26" s="492"/>
      <c r="Z26" s="514"/>
      <c r="AA26" s="492"/>
      <c r="AB26" s="492"/>
      <c r="AC26" s="514"/>
      <c r="AD26" s="492"/>
      <c r="AE26" s="514"/>
      <c r="AF26" s="492"/>
      <c r="AG26" s="514"/>
      <c r="AH26" s="492"/>
      <c r="AI26" s="492"/>
      <c r="AJ26" s="514"/>
      <c r="AK26" s="492"/>
      <c r="AL26" s="514"/>
      <c r="AM26" s="492"/>
      <c r="AN26" s="514"/>
      <c r="AO26" s="492"/>
      <c r="AP26" s="492"/>
      <c r="AQ26" s="514"/>
      <c r="AR26" s="492"/>
      <c r="AS26" s="514"/>
      <c r="AT26" s="492"/>
      <c r="AU26" s="514"/>
      <c r="AV26" s="492"/>
      <c r="AW26" s="492"/>
      <c r="AX26" s="514"/>
      <c r="AY26" s="492"/>
      <c r="AZ26" s="514"/>
      <c r="BA26" s="492"/>
      <c r="BB26" s="514"/>
      <c r="BC26" s="492"/>
      <c r="BD26" s="492"/>
      <c r="BE26" s="514"/>
      <c r="BF26" s="492"/>
      <c r="BG26" s="514"/>
      <c r="BH26" s="492"/>
      <c r="BI26" s="514"/>
      <c r="BJ26" s="492"/>
      <c r="BK26" s="492"/>
      <c r="BL26" s="514"/>
      <c r="BM26" s="492"/>
      <c r="BN26" s="514"/>
      <c r="BO26" s="492"/>
      <c r="BP26" s="514"/>
      <c r="BQ26" s="492"/>
      <c r="BR26" s="492"/>
      <c r="BS26" s="514"/>
      <c r="BT26" s="492"/>
      <c r="BU26" s="514"/>
      <c r="BV26" s="492"/>
      <c r="BW26" s="514"/>
      <c r="BX26" s="492"/>
      <c r="BY26" s="492"/>
      <c r="BZ26" s="514"/>
      <c r="CA26" s="492"/>
      <c r="CB26" s="514"/>
      <c r="CC26" s="492"/>
      <c r="CD26" s="514"/>
      <c r="CE26" s="492"/>
      <c r="CF26" s="492"/>
      <c r="CG26" s="514"/>
      <c r="CH26" s="492"/>
      <c r="CI26" s="514"/>
      <c r="CJ26" s="492"/>
      <c r="CK26" s="586"/>
      <c r="CL26" s="492"/>
      <c r="CM26" s="492"/>
      <c r="CN26" s="514"/>
      <c r="CO26" s="492"/>
      <c r="CP26" s="514"/>
      <c r="CQ26" s="492"/>
      <c r="CR26" s="514"/>
      <c r="CS26" s="492"/>
      <c r="CT26" s="492"/>
      <c r="CU26" s="586"/>
      <c r="CV26" s="431"/>
      <c r="CW26" s="586"/>
      <c r="CX26" s="431"/>
      <c r="CY26" s="586"/>
      <c r="CZ26" s="431"/>
      <c r="DA26" s="431"/>
      <c r="DB26" s="586"/>
      <c r="DC26" s="431"/>
      <c r="DD26" s="586"/>
      <c r="DE26" s="431"/>
      <c r="DF26" s="586"/>
      <c r="DG26" s="431"/>
      <c r="DH26" s="431"/>
      <c r="DI26" s="431"/>
      <c r="DJ26" s="431"/>
      <c r="DK26" s="431"/>
      <c r="DL26" s="431"/>
      <c r="DM26" s="431"/>
      <c r="DN26" s="431"/>
      <c r="DO26" s="431"/>
      <c r="DP26" s="431"/>
      <c r="DQ26" s="431"/>
      <c r="DR26" s="431"/>
      <c r="DS26" s="431"/>
      <c r="DT26" s="431"/>
      <c r="DU26" s="431"/>
      <c r="DV26" s="431"/>
      <c r="DW26" s="431"/>
      <c r="DX26" s="431"/>
      <c r="DY26" s="431"/>
      <c r="DZ26" s="431"/>
      <c r="EA26" s="431"/>
      <c r="EB26" s="431"/>
      <c r="EC26" s="431"/>
      <c r="ED26" s="431"/>
      <c r="EE26" s="431"/>
      <c r="EF26" s="431"/>
      <c r="EG26" s="431"/>
      <c r="EH26" s="431"/>
      <c r="EI26" s="431"/>
      <c r="EJ26" s="431"/>
      <c r="EK26" s="431"/>
      <c r="EL26" s="431"/>
      <c r="EM26" s="431"/>
      <c r="EN26" s="431"/>
      <c r="EO26" s="431"/>
      <c r="EP26" s="431"/>
      <c r="EQ26" s="431"/>
      <c r="ER26" s="431"/>
      <c r="ES26" s="431"/>
      <c r="ET26" s="431"/>
      <c r="EU26" s="431"/>
      <c r="EV26" s="431"/>
      <c r="EW26" s="431"/>
      <c r="EX26" s="431"/>
      <c r="EY26" s="431"/>
      <c r="EZ26" s="431"/>
      <c r="FA26" s="431"/>
      <c r="FB26" s="431"/>
      <c r="FC26" s="431"/>
      <c r="FD26" s="431"/>
      <c r="FE26" s="431"/>
      <c r="FF26" s="431"/>
      <c r="FG26" s="431"/>
      <c r="FH26" s="431"/>
      <c r="FI26" s="431"/>
      <c r="FJ26" s="431"/>
      <c r="FK26" s="431"/>
      <c r="FL26" s="431"/>
      <c r="FM26" s="431"/>
      <c r="FN26" s="431"/>
      <c r="FO26" s="431"/>
      <c r="FP26" s="431"/>
      <c r="FQ26" s="431"/>
      <c r="FR26" s="431"/>
      <c r="FS26" s="587"/>
    </row>
    <row r="27" spans="1:175" s="511" customFormat="1" ht="26.45" customHeight="1">
      <c r="A27" s="510"/>
      <c r="B27" s="616" t="s">
        <v>396</v>
      </c>
      <c r="C27" s="615" t="s">
        <v>398</v>
      </c>
      <c r="D27" s="613">
        <v>18768750</v>
      </c>
      <c r="F27" s="626">
        <v>45951</v>
      </c>
      <c r="G27" s="512"/>
      <c r="H27" s="150"/>
      <c r="I27" s="302"/>
      <c r="J27" s="150"/>
      <c r="K27" s="690"/>
      <c r="L27" s="684">
        <f t="shared" si="1"/>
        <v>18768750</v>
      </c>
      <c r="M27" s="492"/>
      <c r="N27" s="493"/>
      <c r="O27" s="513"/>
      <c r="P27" s="493"/>
      <c r="Q27" s="513"/>
      <c r="R27" s="493"/>
      <c r="S27" s="513"/>
      <c r="T27" s="493"/>
      <c r="U27" s="493"/>
      <c r="V27" s="513"/>
      <c r="W27" s="493"/>
      <c r="X27" s="694">
        <f t="shared" si="0"/>
        <v>18768750</v>
      </c>
      <c r="Y27" s="492"/>
      <c r="Z27" s="514"/>
      <c r="AA27" s="492"/>
      <c r="AB27" s="492"/>
      <c r="AC27" s="514"/>
      <c r="AD27" s="492"/>
      <c r="AE27" s="514"/>
      <c r="AF27" s="492"/>
      <c r="AG27" s="514"/>
      <c r="AH27" s="492"/>
      <c r="AI27" s="492"/>
      <c r="AJ27" s="514"/>
      <c r="AK27" s="492"/>
      <c r="AL27" s="514"/>
      <c r="AM27" s="492"/>
      <c r="AN27" s="514"/>
      <c r="AO27" s="492"/>
      <c r="AP27" s="492"/>
      <c r="AQ27" s="514"/>
      <c r="AR27" s="492"/>
      <c r="AS27" s="514"/>
      <c r="AT27" s="492"/>
      <c r="AU27" s="514"/>
      <c r="AV27" s="492"/>
      <c r="AW27" s="492"/>
      <c r="AX27" s="514"/>
      <c r="AY27" s="492"/>
      <c r="AZ27" s="514"/>
      <c r="BA27" s="492"/>
      <c r="BB27" s="514"/>
      <c r="BC27" s="492"/>
      <c r="BD27" s="492"/>
      <c r="BE27" s="514"/>
      <c r="BF27" s="492"/>
      <c r="BG27" s="514"/>
      <c r="BH27" s="492"/>
      <c r="BI27" s="514"/>
      <c r="BJ27" s="492"/>
      <c r="BK27" s="492"/>
      <c r="BL27" s="514"/>
      <c r="BM27" s="492"/>
      <c r="BN27" s="514"/>
      <c r="BO27" s="492"/>
      <c r="BP27" s="514"/>
      <c r="BQ27" s="492"/>
      <c r="BR27" s="492"/>
      <c r="BS27" s="514"/>
      <c r="BT27" s="492"/>
      <c r="BU27" s="514"/>
      <c r="BV27" s="492"/>
      <c r="BW27" s="514"/>
      <c r="BX27" s="492"/>
      <c r="BY27" s="492"/>
      <c r="BZ27" s="514"/>
      <c r="CA27" s="492"/>
      <c r="CB27" s="514"/>
      <c r="CC27" s="492"/>
      <c r="CD27" s="514"/>
      <c r="CE27" s="492"/>
      <c r="CF27" s="492"/>
      <c r="CG27" s="514"/>
      <c r="CH27" s="492"/>
      <c r="CI27" s="514"/>
      <c r="CJ27" s="492"/>
      <c r="CK27" s="586"/>
      <c r="CL27" s="492"/>
      <c r="CM27" s="492"/>
      <c r="CN27" s="514"/>
      <c r="CO27" s="492"/>
      <c r="CP27" s="514"/>
      <c r="CQ27" s="492"/>
      <c r="CR27" s="514"/>
      <c r="CS27" s="492"/>
      <c r="CT27" s="492"/>
      <c r="CU27" s="586"/>
      <c r="CV27" s="431"/>
      <c r="CW27" s="586"/>
      <c r="CX27" s="431"/>
      <c r="CY27" s="586"/>
      <c r="CZ27" s="431"/>
      <c r="DA27" s="431"/>
      <c r="DB27" s="586"/>
      <c r="DC27" s="431"/>
      <c r="DD27" s="586"/>
      <c r="DE27" s="431"/>
      <c r="DF27" s="586"/>
      <c r="DG27" s="431"/>
      <c r="DH27" s="431"/>
      <c r="DI27" s="431"/>
      <c r="DJ27" s="431"/>
      <c r="DK27" s="431"/>
      <c r="DL27" s="431"/>
      <c r="DM27" s="431"/>
      <c r="DN27" s="431"/>
      <c r="DO27" s="431"/>
      <c r="DP27" s="431"/>
      <c r="DQ27" s="431"/>
      <c r="DR27" s="431"/>
      <c r="DS27" s="431"/>
      <c r="DT27" s="431"/>
      <c r="DU27" s="431"/>
      <c r="DV27" s="431"/>
      <c r="DW27" s="431"/>
      <c r="DX27" s="431"/>
      <c r="DY27" s="431"/>
      <c r="DZ27" s="431"/>
      <c r="EA27" s="431"/>
      <c r="EB27" s="431"/>
      <c r="EC27" s="431"/>
      <c r="ED27" s="431"/>
      <c r="EE27" s="431"/>
      <c r="EF27" s="431"/>
      <c r="EG27" s="431"/>
      <c r="EH27" s="431"/>
      <c r="EI27" s="431"/>
      <c r="EJ27" s="431"/>
      <c r="EK27" s="431"/>
      <c r="EL27" s="431"/>
      <c r="EM27" s="431"/>
      <c r="EN27" s="431"/>
      <c r="EO27" s="431"/>
      <c r="EP27" s="431"/>
      <c r="EQ27" s="431"/>
      <c r="ER27" s="431"/>
      <c r="ES27" s="431"/>
      <c r="ET27" s="431"/>
      <c r="EU27" s="431"/>
      <c r="EV27" s="431"/>
      <c r="EW27" s="431"/>
      <c r="EX27" s="431"/>
      <c r="EY27" s="431"/>
      <c r="EZ27" s="431"/>
      <c r="FA27" s="431"/>
      <c r="FB27" s="431"/>
      <c r="FC27" s="431"/>
      <c r="FD27" s="431"/>
      <c r="FE27" s="431"/>
      <c r="FF27" s="431"/>
      <c r="FG27" s="431"/>
      <c r="FH27" s="431"/>
      <c r="FI27" s="431"/>
      <c r="FJ27" s="431"/>
      <c r="FK27" s="431"/>
      <c r="FL27" s="431"/>
      <c r="FM27" s="431"/>
      <c r="FN27" s="431"/>
      <c r="FO27" s="431"/>
      <c r="FP27" s="431"/>
      <c r="FQ27" s="431"/>
      <c r="FR27" s="431"/>
      <c r="FS27" s="587"/>
    </row>
    <row r="28" spans="1:175" s="511" customFormat="1" ht="26.45" customHeight="1">
      <c r="A28" s="510"/>
      <c r="B28" s="508" t="s">
        <v>399</v>
      </c>
      <c r="C28" s="625" t="s">
        <v>400</v>
      </c>
      <c r="D28" s="430">
        <v>28871780</v>
      </c>
      <c r="F28" s="626">
        <v>45951</v>
      </c>
      <c r="G28" s="512"/>
      <c r="H28" s="150"/>
      <c r="I28" s="302"/>
      <c r="J28" s="150"/>
      <c r="K28" s="690"/>
      <c r="L28" s="684">
        <f t="shared" si="1"/>
        <v>28871780</v>
      </c>
      <c r="M28" s="492"/>
      <c r="N28" s="493"/>
      <c r="O28" s="513"/>
      <c r="P28" s="493"/>
      <c r="Q28" s="513"/>
      <c r="R28" s="493"/>
      <c r="S28" s="513"/>
      <c r="T28" s="493"/>
      <c r="U28" s="493"/>
      <c r="V28" s="513"/>
      <c r="W28" s="493"/>
      <c r="X28" s="694">
        <f t="shared" si="0"/>
        <v>28871780</v>
      </c>
      <c r="Y28" s="492"/>
      <c r="Z28" s="514"/>
      <c r="AA28" s="492"/>
      <c r="AB28" s="492"/>
      <c r="AC28" s="514"/>
      <c r="AD28" s="492"/>
      <c r="AE28" s="514"/>
      <c r="AF28" s="492"/>
      <c r="AG28" s="514"/>
      <c r="AH28" s="492"/>
      <c r="AI28" s="492"/>
      <c r="AJ28" s="514"/>
      <c r="AK28" s="492"/>
      <c r="AL28" s="514"/>
      <c r="AM28" s="492"/>
      <c r="AN28" s="514"/>
      <c r="AO28" s="492"/>
      <c r="AP28" s="492"/>
      <c r="AQ28" s="514"/>
      <c r="AR28" s="492"/>
      <c r="AS28" s="514"/>
      <c r="AT28" s="492"/>
      <c r="AU28" s="514"/>
      <c r="AV28" s="492"/>
      <c r="AW28" s="492"/>
      <c r="AX28" s="514"/>
      <c r="AY28" s="492"/>
      <c r="AZ28" s="514"/>
      <c r="BA28" s="492"/>
      <c r="BB28" s="514"/>
      <c r="BC28" s="492"/>
      <c r="BD28" s="492"/>
      <c r="BE28" s="514"/>
      <c r="BF28" s="492"/>
      <c r="BG28" s="514"/>
      <c r="BH28" s="492"/>
      <c r="BI28" s="514"/>
      <c r="BJ28" s="492"/>
      <c r="BK28" s="492"/>
      <c r="BL28" s="514"/>
      <c r="BM28" s="492"/>
      <c r="BN28" s="514"/>
      <c r="BO28" s="492"/>
      <c r="BP28" s="514"/>
      <c r="BQ28" s="492"/>
      <c r="BR28" s="492"/>
      <c r="BS28" s="514"/>
      <c r="BT28" s="492"/>
      <c r="BU28" s="514"/>
      <c r="BV28" s="492"/>
      <c r="BW28" s="514"/>
      <c r="BX28" s="492"/>
      <c r="BY28" s="492"/>
      <c r="BZ28" s="514"/>
      <c r="CA28" s="492"/>
      <c r="CB28" s="514"/>
      <c r="CC28" s="492"/>
      <c r="CD28" s="514"/>
      <c r="CE28" s="492"/>
      <c r="CF28" s="492"/>
      <c r="CG28" s="514"/>
      <c r="CH28" s="492"/>
      <c r="CI28" s="514"/>
      <c r="CJ28" s="492"/>
      <c r="CK28" s="586"/>
      <c r="CL28" s="492"/>
      <c r="CM28" s="492"/>
      <c r="CN28" s="514"/>
      <c r="CO28" s="492"/>
      <c r="CP28" s="514"/>
      <c r="CQ28" s="492"/>
      <c r="CR28" s="514"/>
      <c r="CS28" s="492"/>
      <c r="CT28" s="492"/>
      <c r="CU28" s="586"/>
      <c r="CV28" s="431"/>
      <c r="CW28" s="586"/>
      <c r="CX28" s="431"/>
      <c r="CY28" s="586"/>
      <c r="CZ28" s="431"/>
      <c r="DA28" s="431"/>
      <c r="DB28" s="586"/>
      <c r="DC28" s="431"/>
      <c r="DD28" s="586"/>
      <c r="DE28" s="431"/>
      <c r="DF28" s="586"/>
      <c r="DG28" s="431"/>
      <c r="DH28" s="431"/>
      <c r="DI28" s="431"/>
      <c r="DJ28" s="431"/>
      <c r="DK28" s="431"/>
      <c r="DL28" s="431"/>
      <c r="DM28" s="431"/>
      <c r="DN28" s="431"/>
      <c r="DO28" s="431"/>
      <c r="DP28" s="431"/>
      <c r="DQ28" s="431"/>
      <c r="DR28" s="431"/>
      <c r="DS28" s="431"/>
      <c r="DT28" s="431"/>
      <c r="DU28" s="431"/>
      <c r="DV28" s="431"/>
      <c r="DW28" s="431"/>
      <c r="DX28" s="431"/>
      <c r="DY28" s="431"/>
      <c r="DZ28" s="431"/>
      <c r="EA28" s="431"/>
      <c r="EB28" s="431"/>
      <c r="EC28" s="431"/>
      <c r="ED28" s="431"/>
      <c r="EE28" s="431"/>
      <c r="EF28" s="431"/>
      <c r="EG28" s="431"/>
      <c r="EH28" s="431"/>
      <c r="EI28" s="431"/>
      <c r="EJ28" s="431"/>
      <c r="EK28" s="431"/>
      <c r="EL28" s="431"/>
      <c r="EM28" s="431"/>
      <c r="EN28" s="431"/>
      <c r="EO28" s="431"/>
      <c r="EP28" s="431"/>
      <c r="EQ28" s="431"/>
      <c r="ER28" s="431"/>
      <c r="ES28" s="431"/>
      <c r="ET28" s="431"/>
      <c r="EU28" s="431"/>
      <c r="EV28" s="431"/>
      <c r="EW28" s="431"/>
      <c r="EX28" s="431"/>
      <c r="EY28" s="431"/>
      <c r="EZ28" s="431"/>
      <c r="FA28" s="431"/>
      <c r="FB28" s="431"/>
      <c r="FC28" s="431"/>
      <c r="FD28" s="431"/>
      <c r="FE28" s="431"/>
      <c r="FF28" s="431"/>
      <c r="FG28" s="431"/>
      <c r="FH28" s="431"/>
      <c r="FI28" s="431"/>
      <c r="FJ28" s="431"/>
      <c r="FK28" s="431"/>
      <c r="FL28" s="431"/>
      <c r="FM28" s="431"/>
      <c r="FN28" s="431"/>
      <c r="FO28" s="431"/>
      <c r="FP28" s="431"/>
      <c r="FQ28" s="431"/>
      <c r="FR28" s="431"/>
      <c r="FS28" s="587"/>
    </row>
    <row r="29" spans="1:175" s="511" customFormat="1" ht="26.45" customHeight="1">
      <c r="A29" s="510"/>
      <c r="B29" s="616" t="s">
        <v>401</v>
      </c>
      <c r="C29" s="616" t="s">
        <v>402</v>
      </c>
      <c r="D29" s="618">
        <v>115000</v>
      </c>
      <c r="F29" s="626">
        <v>45951</v>
      </c>
      <c r="G29" s="512"/>
      <c r="H29" s="150"/>
      <c r="I29" s="302"/>
      <c r="J29" s="150"/>
      <c r="K29" s="690"/>
      <c r="L29" s="684">
        <f t="shared" si="1"/>
        <v>115000</v>
      </c>
      <c r="M29" s="492"/>
      <c r="N29" s="493"/>
      <c r="O29" s="513"/>
      <c r="P29" s="493"/>
      <c r="Q29" s="513"/>
      <c r="R29" s="493"/>
      <c r="S29" s="513"/>
      <c r="T29" s="493"/>
      <c r="U29" s="493"/>
      <c r="V29" s="513"/>
      <c r="W29" s="493"/>
      <c r="X29" s="694">
        <f t="shared" si="0"/>
        <v>115000</v>
      </c>
      <c r="Y29" s="492"/>
      <c r="Z29" s="514"/>
      <c r="AA29" s="492"/>
      <c r="AB29" s="492"/>
      <c r="AC29" s="514"/>
      <c r="AD29" s="492"/>
      <c r="AE29" s="514"/>
      <c r="AF29" s="492"/>
      <c r="AG29" s="514"/>
      <c r="AH29" s="492"/>
      <c r="AI29" s="492"/>
      <c r="AJ29" s="514"/>
      <c r="AK29" s="492"/>
      <c r="AL29" s="514"/>
      <c r="AM29" s="492"/>
      <c r="AN29" s="514"/>
      <c r="AO29" s="492"/>
      <c r="AP29" s="492"/>
      <c r="AQ29" s="514"/>
      <c r="AR29" s="492"/>
      <c r="AS29" s="514"/>
      <c r="AT29" s="492"/>
      <c r="AU29" s="514"/>
      <c r="AV29" s="492"/>
      <c r="AW29" s="492"/>
      <c r="AX29" s="514"/>
      <c r="AY29" s="492"/>
      <c r="AZ29" s="514"/>
      <c r="BA29" s="492"/>
      <c r="BB29" s="514"/>
      <c r="BC29" s="492"/>
      <c r="BD29" s="492"/>
      <c r="BE29" s="514"/>
      <c r="BF29" s="492"/>
      <c r="BG29" s="514"/>
      <c r="BH29" s="492"/>
      <c r="BI29" s="514"/>
      <c r="BJ29" s="492"/>
      <c r="BK29" s="492"/>
      <c r="BL29" s="514"/>
      <c r="BM29" s="492"/>
      <c r="BN29" s="514"/>
      <c r="BO29" s="492"/>
      <c r="BP29" s="514"/>
      <c r="BQ29" s="492"/>
      <c r="BR29" s="492"/>
      <c r="BS29" s="514"/>
      <c r="BT29" s="492"/>
      <c r="BU29" s="514"/>
      <c r="BV29" s="492"/>
      <c r="BW29" s="514"/>
      <c r="BX29" s="492"/>
      <c r="BY29" s="492"/>
      <c r="BZ29" s="514"/>
      <c r="CA29" s="492"/>
      <c r="CB29" s="514"/>
      <c r="CC29" s="492"/>
      <c r="CD29" s="514"/>
      <c r="CE29" s="492"/>
      <c r="CF29" s="492"/>
      <c r="CG29" s="514"/>
      <c r="CH29" s="492"/>
      <c r="CI29" s="514"/>
      <c r="CJ29" s="492"/>
      <c r="CK29" s="586"/>
      <c r="CL29" s="492"/>
      <c r="CM29" s="492"/>
      <c r="CN29" s="514"/>
      <c r="CO29" s="492"/>
      <c r="CP29" s="514"/>
      <c r="CQ29" s="492"/>
      <c r="CR29" s="514"/>
      <c r="CS29" s="492"/>
      <c r="CT29" s="492"/>
      <c r="CU29" s="586"/>
      <c r="CV29" s="431"/>
      <c r="CW29" s="586"/>
      <c r="CX29" s="431"/>
      <c r="CY29" s="586"/>
      <c r="CZ29" s="431"/>
      <c r="DA29" s="431"/>
      <c r="DB29" s="586"/>
      <c r="DC29" s="431"/>
      <c r="DD29" s="586"/>
      <c r="DE29" s="431"/>
      <c r="DF29" s="586"/>
      <c r="DG29" s="431"/>
      <c r="DH29" s="431"/>
      <c r="DI29" s="431"/>
      <c r="DJ29" s="431"/>
      <c r="DK29" s="431"/>
      <c r="DL29" s="431"/>
      <c r="DM29" s="431"/>
      <c r="DN29" s="431"/>
      <c r="DO29" s="431"/>
      <c r="DP29" s="431"/>
      <c r="DQ29" s="431"/>
      <c r="DR29" s="431"/>
      <c r="DS29" s="431"/>
      <c r="DT29" s="431"/>
      <c r="DU29" s="431"/>
      <c r="DV29" s="431"/>
      <c r="DW29" s="431"/>
      <c r="DX29" s="431"/>
      <c r="DY29" s="431"/>
      <c r="DZ29" s="431"/>
      <c r="EA29" s="431"/>
      <c r="EB29" s="431"/>
      <c r="EC29" s="431"/>
      <c r="ED29" s="431"/>
      <c r="EE29" s="431"/>
      <c r="EF29" s="431"/>
      <c r="EG29" s="431"/>
      <c r="EH29" s="431"/>
      <c r="EI29" s="431"/>
      <c r="EJ29" s="431"/>
      <c r="EK29" s="431"/>
      <c r="EL29" s="431"/>
      <c r="EM29" s="431"/>
      <c r="EN29" s="431"/>
      <c r="EO29" s="431"/>
      <c r="EP29" s="431"/>
      <c r="EQ29" s="431"/>
      <c r="ER29" s="431"/>
      <c r="ES29" s="431"/>
      <c r="ET29" s="431"/>
      <c r="EU29" s="431"/>
      <c r="EV29" s="431"/>
      <c r="EW29" s="431"/>
      <c r="EX29" s="431"/>
      <c r="EY29" s="431"/>
      <c r="EZ29" s="431"/>
      <c r="FA29" s="431"/>
      <c r="FB29" s="431"/>
      <c r="FC29" s="431"/>
      <c r="FD29" s="431"/>
      <c r="FE29" s="431"/>
      <c r="FF29" s="431"/>
      <c r="FG29" s="431"/>
      <c r="FH29" s="431"/>
      <c r="FI29" s="431"/>
      <c r="FJ29" s="431"/>
      <c r="FK29" s="431"/>
      <c r="FL29" s="431"/>
      <c r="FM29" s="431"/>
      <c r="FN29" s="431"/>
      <c r="FO29" s="431"/>
      <c r="FP29" s="431"/>
      <c r="FQ29" s="431"/>
      <c r="FR29" s="431"/>
      <c r="FS29" s="587"/>
    </row>
    <row r="30" spans="1:175" s="511" customFormat="1" ht="26.45" customHeight="1">
      <c r="A30" s="510"/>
      <c r="B30" s="611" t="s">
        <v>403</v>
      </c>
      <c r="C30" s="616" t="s">
        <v>404</v>
      </c>
      <c r="D30" s="618">
        <v>346000</v>
      </c>
      <c r="F30" s="626">
        <v>45951</v>
      </c>
      <c r="G30" s="512"/>
      <c r="H30" s="150"/>
      <c r="I30" s="302"/>
      <c r="J30" s="150"/>
      <c r="K30" s="690"/>
      <c r="L30" s="684">
        <f t="shared" si="1"/>
        <v>346000</v>
      </c>
      <c r="M30" s="492"/>
      <c r="N30" s="493"/>
      <c r="O30" s="513"/>
      <c r="P30" s="493"/>
      <c r="Q30" s="513"/>
      <c r="R30" s="493"/>
      <c r="S30" s="513"/>
      <c r="T30" s="493"/>
      <c r="U30" s="493"/>
      <c r="V30" s="513"/>
      <c r="W30" s="493"/>
      <c r="X30" s="694">
        <f t="shared" si="0"/>
        <v>346000</v>
      </c>
      <c r="Y30" s="492"/>
      <c r="Z30" s="514"/>
      <c r="AA30" s="492"/>
      <c r="AB30" s="492"/>
      <c r="AC30" s="514"/>
      <c r="AD30" s="492"/>
      <c r="AE30" s="514"/>
      <c r="AF30" s="492"/>
      <c r="AG30" s="514"/>
      <c r="AH30" s="492"/>
      <c r="AI30" s="492"/>
      <c r="AJ30" s="514"/>
      <c r="AK30" s="492"/>
      <c r="AL30" s="514"/>
      <c r="AM30" s="492"/>
      <c r="AN30" s="514"/>
      <c r="AO30" s="492"/>
      <c r="AP30" s="492"/>
      <c r="AQ30" s="514"/>
      <c r="AR30" s="492"/>
      <c r="AS30" s="514"/>
      <c r="AT30" s="492"/>
      <c r="AU30" s="514"/>
      <c r="AV30" s="492"/>
      <c r="AW30" s="492"/>
      <c r="AX30" s="514"/>
      <c r="AY30" s="492"/>
      <c r="AZ30" s="514"/>
      <c r="BA30" s="492"/>
      <c r="BB30" s="514"/>
      <c r="BC30" s="492"/>
      <c r="BD30" s="492"/>
      <c r="BE30" s="514"/>
      <c r="BF30" s="492"/>
      <c r="BG30" s="514"/>
      <c r="BH30" s="492"/>
      <c r="BI30" s="514"/>
      <c r="BJ30" s="492"/>
      <c r="BK30" s="492"/>
      <c r="BL30" s="514"/>
      <c r="BM30" s="492"/>
      <c r="BN30" s="514"/>
      <c r="BO30" s="492"/>
      <c r="BP30" s="514"/>
      <c r="BQ30" s="492"/>
      <c r="BR30" s="492"/>
      <c r="BS30" s="514"/>
      <c r="BT30" s="492"/>
      <c r="BU30" s="514"/>
      <c r="BV30" s="492"/>
      <c r="BW30" s="514"/>
      <c r="BX30" s="492"/>
      <c r="BY30" s="492"/>
      <c r="BZ30" s="514"/>
      <c r="CA30" s="492"/>
      <c r="CB30" s="514"/>
      <c r="CC30" s="492"/>
      <c r="CD30" s="514"/>
      <c r="CE30" s="492"/>
      <c r="CF30" s="492"/>
      <c r="CG30" s="514"/>
      <c r="CH30" s="492"/>
      <c r="CI30" s="514"/>
      <c r="CJ30" s="492"/>
      <c r="CK30" s="586"/>
      <c r="CL30" s="492"/>
      <c r="CM30" s="492"/>
      <c r="CN30" s="514"/>
      <c r="CO30" s="492"/>
      <c r="CP30" s="514"/>
      <c r="CQ30" s="492"/>
      <c r="CR30" s="514"/>
      <c r="CS30" s="492"/>
      <c r="CT30" s="492"/>
      <c r="CU30" s="586"/>
      <c r="CV30" s="431"/>
      <c r="CW30" s="586"/>
      <c r="CX30" s="431"/>
      <c r="CY30" s="586"/>
      <c r="CZ30" s="431"/>
      <c r="DA30" s="431"/>
      <c r="DB30" s="586"/>
      <c r="DC30" s="431"/>
      <c r="DD30" s="586"/>
      <c r="DE30" s="431"/>
      <c r="DF30" s="586"/>
      <c r="DG30" s="431"/>
      <c r="DH30" s="431"/>
      <c r="DI30" s="431"/>
      <c r="DJ30" s="431"/>
      <c r="DK30" s="431"/>
      <c r="DL30" s="431"/>
      <c r="DM30" s="431"/>
      <c r="DN30" s="431"/>
      <c r="DO30" s="431"/>
      <c r="DP30" s="431"/>
      <c r="DQ30" s="431"/>
      <c r="DR30" s="431"/>
      <c r="DS30" s="431"/>
      <c r="DT30" s="431"/>
      <c r="DU30" s="431"/>
      <c r="DV30" s="431"/>
      <c r="DW30" s="431"/>
      <c r="DX30" s="431"/>
      <c r="DY30" s="431"/>
      <c r="DZ30" s="431"/>
      <c r="EA30" s="431"/>
      <c r="EB30" s="431"/>
      <c r="EC30" s="431"/>
      <c r="ED30" s="431"/>
      <c r="EE30" s="431"/>
      <c r="EF30" s="431"/>
      <c r="EG30" s="431"/>
      <c r="EH30" s="431"/>
      <c r="EI30" s="431"/>
      <c r="EJ30" s="431"/>
      <c r="EK30" s="431"/>
      <c r="EL30" s="431"/>
      <c r="EM30" s="431"/>
      <c r="EN30" s="431"/>
      <c r="EO30" s="431"/>
      <c r="EP30" s="431"/>
      <c r="EQ30" s="431"/>
      <c r="ER30" s="431"/>
      <c r="ES30" s="431"/>
      <c r="ET30" s="431"/>
      <c r="EU30" s="431"/>
      <c r="EV30" s="431"/>
      <c r="EW30" s="431"/>
      <c r="EX30" s="431"/>
      <c r="EY30" s="431"/>
      <c r="EZ30" s="431"/>
      <c r="FA30" s="431"/>
      <c r="FB30" s="431"/>
      <c r="FC30" s="431"/>
      <c r="FD30" s="431"/>
      <c r="FE30" s="431"/>
      <c r="FF30" s="431"/>
      <c r="FG30" s="431"/>
      <c r="FH30" s="431"/>
      <c r="FI30" s="431"/>
      <c r="FJ30" s="431"/>
      <c r="FK30" s="431"/>
      <c r="FL30" s="431"/>
      <c r="FM30" s="431"/>
      <c r="FN30" s="431"/>
      <c r="FO30" s="431"/>
      <c r="FP30" s="431"/>
      <c r="FQ30" s="431"/>
      <c r="FR30" s="431"/>
      <c r="FS30" s="587"/>
    </row>
    <row r="31" spans="1:175" s="511" customFormat="1" ht="26.45" customHeight="1">
      <c r="A31" s="510"/>
      <c r="B31" s="630" t="s">
        <v>403</v>
      </c>
      <c r="C31" s="631" t="s">
        <v>405</v>
      </c>
      <c r="D31" s="613">
        <v>415000</v>
      </c>
      <c r="F31" s="626">
        <v>45951</v>
      </c>
      <c r="G31" s="512"/>
      <c r="H31" s="150"/>
      <c r="I31" s="302"/>
      <c r="J31" s="150"/>
      <c r="K31" s="690"/>
      <c r="L31" s="684">
        <f>D31</f>
        <v>415000</v>
      </c>
      <c r="M31" s="492"/>
      <c r="N31" s="493"/>
      <c r="O31" s="513"/>
      <c r="P31" s="493"/>
      <c r="Q31" s="513"/>
      <c r="R31" s="493"/>
      <c r="S31" s="513"/>
      <c r="T31" s="493"/>
      <c r="U31" s="493"/>
      <c r="V31" s="513"/>
      <c r="W31" s="493"/>
      <c r="X31" s="694">
        <f t="shared" si="0"/>
        <v>415000</v>
      </c>
      <c r="Y31" s="492"/>
      <c r="Z31" s="514"/>
      <c r="AA31" s="492"/>
      <c r="AB31" s="492"/>
      <c r="AC31" s="514"/>
      <c r="AD31" s="492"/>
      <c r="AE31" s="514"/>
      <c r="AF31" s="492"/>
      <c r="AG31" s="514"/>
      <c r="AH31" s="492"/>
      <c r="AI31" s="492"/>
      <c r="AJ31" s="514"/>
      <c r="AK31" s="492"/>
      <c r="AL31" s="514"/>
      <c r="AM31" s="492"/>
      <c r="AN31" s="514"/>
      <c r="AO31" s="492"/>
      <c r="AP31" s="492"/>
      <c r="AQ31" s="514"/>
      <c r="AR31" s="492"/>
      <c r="AS31" s="514"/>
      <c r="AT31" s="492"/>
      <c r="AU31" s="514"/>
      <c r="AV31" s="492"/>
      <c r="AW31" s="492"/>
      <c r="AX31" s="514"/>
      <c r="AY31" s="492"/>
      <c r="AZ31" s="514"/>
      <c r="BA31" s="492"/>
      <c r="BB31" s="514"/>
      <c r="BC31" s="492"/>
      <c r="BD31" s="492"/>
      <c r="BE31" s="514"/>
      <c r="BF31" s="492"/>
      <c r="BG31" s="514"/>
      <c r="BH31" s="492"/>
      <c r="BI31" s="514"/>
      <c r="BJ31" s="492"/>
      <c r="BK31" s="492"/>
      <c r="BL31" s="514"/>
      <c r="BM31" s="492"/>
      <c r="BN31" s="514"/>
      <c r="BO31" s="492"/>
      <c r="BP31" s="514"/>
      <c r="BQ31" s="492"/>
      <c r="BR31" s="492"/>
      <c r="BS31" s="514"/>
      <c r="BT31" s="492"/>
      <c r="BU31" s="514"/>
      <c r="BV31" s="492"/>
      <c r="BW31" s="514"/>
      <c r="BX31" s="492"/>
      <c r="BY31" s="492"/>
      <c r="BZ31" s="514"/>
      <c r="CA31" s="492"/>
      <c r="CB31" s="514"/>
      <c r="CC31" s="492"/>
      <c r="CD31" s="514"/>
      <c r="CE31" s="492"/>
      <c r="CF31" s="492"/>
      <c r="CG31" s="514"/>
      <c r="CH31" s="492"/>
      <c r="CI31" s="514"/>
      <c r="CJ31" s="492"/>
      <c r="CK31" s="586"/>
      <c r="CL31" s="492"/>
      <c r="CM31" s="492"/>
      <c r="CN31" s="514"/>
      <c r="CO31" s="492"/>
      <c r="CP31" s="514"/>
      <c r="CQ31" s="492"/>
      <c r="CR31" s="514"/>
      <c r="CS31" s="492"/>
      <c r="CT31" s="492"/>
      <c r="CU31" s="586"/>
      <c r="CV31" s="431"/>
      <c r="CW31" s="586"/>
      <c r="CX31" s="431"/>
      <c r="CY31" s="586"/>
      <c r="CZ31" s="431"/>
      <c r="DA31" s="431"/>
      <c r="DB31" s="586"/>
      <c r="DC31" s="431"/>
      <c r="DD31" s="586"/>
      <c r="DE31" s="431"/>
      <c r="DF31" s="586"/>
      <c r="DG31" s="431"/>
      <c r="DH31" s="431"/>
      <c r="DI31" s="431"/>
      <c r="DJ31" s="431"/>
      <c r="DK31" s="431"/>
      <c r="DL31" s="431"/>
      <c r="DM31" s="431"/>
      <c r="DN31" s="431"/>
      <c r="DO31" s="431"/>
      <c r="DP31" s="431"/>
      <c r="DQ31" s="431"/>
      <c r="DR31" s="431"/>
      <c r="DS31" s="431"/>
      <c r="DT31" s="431"/>
      <c r="DU31" s="431"/>
      <c r="DV31" s="431"/>
      <c r="DW31" s="431"/>
      <c r="DX31" s="431"/>
      <c r="DY31" s="431"/>
      <c r="DZ31" s="431"/>
      <c r="EA31" s="431"/>
      <c r="EB31" s="431"/>
      <c r="EC31" s="431"/>
      <c r="ED31" s="431"/>
      <c r="EE31" s="431"/>
      <c r="EF31" s="431"/>
      <c r="EG31" s="431"/>
      <c r="EH31" s="431"/>
      <c r="EI31" s="431"/>
      <c r="EJ31" s="431"/>
      <c r="EK31" s="431"/>
      <c r="EL31" s="431"/>
      <c r="EM31" s="431"/>
      <c r="EN31" s="431"/>
      <c r="EO31" s="431"/>
      <c r="EP31" s="431"/>
      <c r="EQ31" s="431"/>
      <c r="ER31" s="431"/>
      <c r="ES31" s="431"/>
      <c r="ET31" s="431"/>
      <c r="EU31" s="431"/>
      <c r="EV31" s="431"/>
      <c r="EW31" s="431"/>
      <c r="EX31" s="431"/>
      <c r="EY31" s="431"/>
      <c r="EZ31" s="431"/>
      <c r="FA31" s="431"/>
      <c r="FB31" s="431"/>
      <c r="FC31" s="431"/>
      <c r="FD31" s="431"/>
      <c r="FE31" s="431"/>
      <c r="FF31" s="431"/>
      <c r="FG31" s="431"/>
      <c r="FH31" s="431"/>
      <c r="FI31" s="431"/>
      <c r="FJ31" s="431"/>
      <c r="FK31" s="431"/>
      <c r="FL31" s="431"/>
      <c r="FM31" s="431"/>
      <c r="FN31" s="431"/>
      <c r="FO31" s="431"/>
      <c r="FP31" s="431"/>
      <c r="FQ31" s="431"/>
      <c r="FR31" s="431"/>
      <c r="FS31" s="587"/>
    </row>
    <row r="32" spans="1:175" s="511" customFormat="1" ht="26.45" customHeight="1">
      <c r="A32" s="510"/>
      <c r="B32" s="630" t="s">
        <v>403</v>
      </c>
      <c r="C32" s="631" t="s">
        <v>406</v>
      </c>
      <c r="D32" s="613">
        <v>1333000</v>
      </c>
      <c r="F32" s="626">
        <v>45951</v>
      </c>
      <c r="G32" s="512"/>
      <c r="H32" s="150"/>
      <c r="I32" s="302"/>
      <c r="J32" s="150"/>
      <c r="K32" s="690"/>
      <c r="L32" s="684">
        <f t="shared" si="1"/>
        <v>1333000</v>
      </c>
      <c r="M32" s="492"/>
      <c r="N32" s="493"/>
      <c r="O32" s="513"/>
      <c r="P32" s="493"/>
      <c r="Q32" s="513"/>
      <c r="R32" s="493"/>
      <c r="S32" s="513"/>
      <c r="T32" s="493"/>
      <c r="U32" s="493"/>
      <c r="V32" s="513"/>
      <c r="W32" s="493"/>
      <c r="X32" s="694">
        <f t="shared" si="0"/>
        <v>1333000</v>
      </c>
      <c r="Y32" s="492"/>
      <c r="Z32" s="514"/>
      <c r="AA32" s="492"/>
      <c r="AB32" s="492"/>
      <c r="AC32" s="514"/>
      <c r="AD32" s="492"/>
      <c r="AE32" s="514"/>
      <c r="AF32" s="492"/>
      <c r="AG32" s="514"/>
      <c r="AH32" s="492"/>
      <c r="AI32" s="492"/>
      <c r="AJ32" s="514"/>
      <c r="AK32" s="492"/>
      <c r="AL32" s="514"/>
      <c r="AM32" s="492"/>
      <c r="AN32" s="514"/>
      <c r="AO32" s="492"/>
      <c r="AP32" s="492"/>
      <c r="AQ32" s="514"/>
      <c r="AR32" s="492"/>
      <c r="AS32" s="514"/>
      <c r="AT32" s="492"/>
      <c r="AU32" s="514"/>
      <c r="AV32" s="492"/>
      <c r="AW32" s="492"/>
      <c r="AX32" s="514"/>
      <c r="AY32" s="492"/>
      <c r="AZ32" s="514"/>
      <c r="BA32" s="492"/>
      <c r="BB32" s="514"/>
      <c r="BC32" s="492"/>
      <c r="BD32" s="492"/>
      <c r="BE32" s="514"/>
      <c r="BF32" s="492"/>
      <c r="BG32" s="514"/>
      <c r="BH32" s="492"/>
      <c r="BI32" s="514"/>
      <c r="BJ32" s="492"/>
      <c r="BK32" s="492"/>
      <c r="BL32" s="514"/>
      <c r="BM32" s="492"/>
      <c r="BN32" s="514"/>
      <c r="BO32" s="492"/>
      <c r="BP32" s="514"/>
      <c r="BQ32" s="492"/>
      <c r="BR32" s="492"/>
      <c r="BS32" s="514"/>
      <c r="BT32" s="492"/>
      <c r="BU32" s="514"/>
      <c r="BV32" s="492"/>
      <c r="BW32" s="514"/>
      <c r="BX32" s="492"/>
      <c r="BY32" s="492"/>
      <c r="BZ32" s="514"/>
      <c r="CA32" s="492"/>
      <c r="CB32" s="514"/>
      <c r="CC32" s="492"/>
      <c r="CD32" s="514"/>
      <c r="CE32" s="492"/>
      <c r="CF32" s="492"/>
      <c r="CG32" s="514"/>
      <c r="CH32" s="492"/>
      <c r="CI32" s="514"/>
      <c r="CJ32" s="492"/>
      <c r="CK32" s="586"/>
      <c r="CL32" s="492"/>
      <c r="CM32" s="492"/>
      <c r="CN32" s="514"/>
      <c r="CO32" s="492"/>
      <c r="CP32" s="514"/>
      <c r="CQ32" s="492"/>
      <c r="CR32" s="514"/>
      <c r="CS32" s="492"/>
      <c r="CT32" s="492"/>
      <c r="CU32" s="586"/>
      <c r="CV32" s="431"/>
      <c r="CW32" s="586"/>
      <c r="CX32" s="431"/>
      <c r="CY32" s="586"/>
      <c r="CZ32" s="431"/>
      <c r="DA32" s="431"/>
      <c r="DB32" s="586"/>
      <c r="DC32" s="431"/>
      <c r="DD32" s="586"/>
      <c r="DE32" s="431"/>
      <c r="DF32" s="586"/>
      <c r="DG32" s="431"/>
      <c r="DH32" s="431"/>
      <c r="DI32" s="431"/>
      <c r="DJ32" s="431"/>
      <c r="DK32" s="431"/>
      <c r="DL32" s="431"/>
      <c r="DM32" s="431"/>
      <c r="DN32" s="431"/>
      <c r="DO32" s="431"/>
      <c r="DP32" s="431"/>
      <c r="DQ32" s="431"/>
      <c r="DR32" s="431"/>
      <c r="DS32" s="431"/>
      <c r="DT32" s="431"/>
      <c r="DU32" s="431"/>
      <c r="DV32" s="431"/>
      <c r="DW32" s="431"/>
      <c r="DX32" s="431"/>
      <c r="DY32" s="431"/>
      <c r="DZ32" s="431"/>
      <c r="EA32" s="431"/>
      <c r="EB32" s="431"/>
      <c r="EC32" s="431"/>
      <c r="ED32" s="431"/>
      <c r="EE32" s="431"/>
      <c r="EF32" s="431"/>
      <c r="EG32" s="431"/>
      <c r="EH32" s="431"/>
      <c r="EI32" s="431"/>
      <c r="EJ32" s="431"/>
      <c r="EK32" s="431"/>
      <c r="EL32" s="431"/>
      <c r="EM32" s="431"/>
      <c r="EN32" s="431"/>
      <c r="EO32" s="431"/>
      <c r="EP32" s="431"/>
      <c r="EQ32" s="431"/>
      <c r="ER32" s="431"/>
      <c r="ES32" s="431"/>
      <c r="ET32" s="431"/>
      <c r="EU32" s="431"/>
      <c r="EV32" s="431"/>
      <c r="EW32" s="431"/>
      <c r="EX32" s="431"/>
      <c r="EY32" s="431"/>
      <c r="EZ32" s="431"/>
      <c r="FA32" s="431"/>
      <c r="FB32" s="431"/>
      <c r="FC32" s="431"/>
      <c r="FD32" s="431"/>
      <c r="FE32" s="431"/>
      <c r="FF32" s="431"/>
      <c r="FG32" s="431"/>
      <c r="FH32" s="431"/>
      <c r="FI32" s="431"/>
      <c r="FJ32" s="431"/>
      <c r="FK32" s="431"/>
      <c r="FL32" s="431"/>
      <c r="FM32" s="431"/>
      <c r="FN32" s="431"/>
      <c r="FO32" s="431"/>
      <c r="FP32" s="431"/>
      <c r="FQ32" s="431"/>
      <c r="FR32" s="431"/>
      <c r="FS32" s="587"/>
    </row>
    <row r="33" spans="1:175" s="511" customFormat="1" ht="26.45" customHeight="1">
      <c r="A33" s="510"/>
      <c r="B33" s="616" t="s">
        <v>407</v>
      </c>
      <c r="C33" s="624" t="s">
        <v>408</v>
      </c>
      <c r="D33" s="613">
        <v>1500000</v>
      </c>
      <c r="F33" s="626">
        <v>45951</v>
      </c>
      <c r="G33" s="512"/>
      <c r="H33" s="150"/>
      <c r="I33" s="302"/>
      <c r="J33" s="150"/>
      <c r="K33" s="690"/>
      <c r="L33" s="684">
        <f t="shared" si="1"/>
        <v>1500000</v>
      </c>
      <c r="M33" s="492"/>
      <c r="N33" s="493"/>
      <c r="O33" s="513"/>
      <c r="P33" s="493"/>
      <c r="Q33" s="513"/>
      <c r="R33" s="493"/>
      <c r="S33" s="513"/>
      <c r="T33" s="493"/>
      <c r="U33" s="493"/>
      <c r="V33" s="513"/>
      <c r="W33" s="493"/>
      <c r="X33" s="694">
        <f t="shared" si="0"/>
        <v>1500000</v>
      </c>
      <c r="Y33" s="492"/>
      <c r="Z33" s="514"/>
      <c r="AA33" s="492"/>
      <c r="AB33" s="492"/>
      <c r="AC33" s="514"/>
      <c r="AD33" s="492"/>
      <c r="AE33" s="514"/>
      <c r="AF33" s="492"/>
      <c r="AG33" s="514"/>
      <c r="AH33" s="492"/>
      <c r="AI33" s="492"/>
      <c r="AJ33" s="514"/>
      <c r="AK33" s="492"/>
      <c r="AL33" s="514"/>
      <c r="AM33" s="492"/>
      <c r="AN33" s="514"/>
      <c r="AO33" s="492"/>
      <c r="AP33" s="492"/>
      <c r="AQ33" s="514"/>
      <c r="AR33" s="492"/>
      <c r="AS33" s="514"/>
      <c r="AT33" s="492"/>
      <c r="AU33" s="514"/>
      <c r="AV33" s="492"/>
      <c r="AW33" s="492"/>
      <c r="AX33" s="514"/>
      <c r="AY33" s="492"/>
      <c r="AZ33" s="514"/>
      <c r="BA33" s="492"/>
      <c r="BB33" s="514"/>
      <c r="BC33" s="492"/>
      <c r="BD33" s="492"/>
      <c r="BE33" s="514"/>
      <c r="BF33" s="492"/>
      <c r="BG33" s="514"/>
      <c r="BH33" s="492"/>
      <c r="BI33" s="514"/>
      <c r="BJ33" s="492"/>
      <c r="BK33" s="492"/>
      <c r="BL33" s="514"/>
      <c r="BM33" s="492"/>
      <c r="BN33" s="514"/>
      <c r="BO33" s="492"/>
      <c r="BP33" s="514"/>
      <c r="BQ33" s="492"/>
      <c r="BR33" s="492"/>
      <c r="BS33" s="514"/>
      <c r="BT33" s="492"/>
      <c r="BU33" s="514"/>
      <c r="BV33" s="492"/>
      <c r="BW33" s="514"/>
      <c r="BX33" s="492"/>
      <c r="BY33" s="492"/>
      <c r="BZ33" s="514"/>
      <c r="CA33" s="492"/>
      <c r="CB33" s="514"/>
      <c r="CC33" s="492"/>
      <c r="CD33" s="514"/>
      <c r="CE33" s="492"/>
      <c r="CF33" s="492"/>
      <c r="CG33" s="514"/>
      <c r="CH33" s="492"/>
      <c r="CI33" s="514"/>
      <c r="CJ33" s="492"/>
      <c r="CK33" s="586"/>
      <c r="CL33" s="492"/>
      <c r="CM33" s="492"/>
      <c r="CN33" s="514"/>
      <c r="CO33" s="492"/>
      <c r="CP33" s="514"/>
      <c r="CQ33" s="492"/>
      <c r="CR33" s="514"/>
      <c r="CS33" s="492"/>
      <c r="CT33" s="492"/>
      <c r="CU33" s="586"/>
      <c r="CV33" s="431"/>
      <c r="CW33" s="586"/>
      <c r="CX33" s="431"/>
      <c r="CY33" s="586"/>
      <c r="CZ33" s="431"/>
      <c r="DA33" s="431"/>
      <c r="DB33" s="586"/>
      <c r="DC33" s="431"/>
      <c r="DD33" s="586"/>
      <c r="DE33" s="431"/>
      <c r="DF33" s="586"/>
      <c r="DG33" s="431"/>
      <c r="DH33" s="431"/>
      <c r="DI33" s="431"/>
      <c r="DJ33" s="431"/>
      <c r="DK33" s="431"/>
      <c r="DL33" s="431"/>
      <c r="DM33" s="431"/>
      <c r="DN33" s="431"/>
      <c r="DO33" s="431"/>
      <c r="DP33" s="431"/>
      <c r="DQ33" s="431"/>
      <c r="DR33" s="431"/>
      <c r="DS33" s="431"/>
      <c r="DT33" s="431"/>
      <c r="DU33" s="431"/>
      <c r="DV33" s="431"/>
      <c r="DW33" s="431"/>
      <c r="DX33" s="431"/>
      <c r="DY33" s="431"/>
      <c r="DZ33" s="431"/>
      <c r="EA33" s="431"/>
      <c r="EB33" s="431"/>
      <c r="EC33" s="431"/>
      <c r="ED33" s="431"/>
      <c r="EE33" s="431"/>
      <c r="EF33" s="431"/>
      <c r="EG33" s="431"/>
      <c r="EH33" s="431"/>
      <c r="EI33" s="431"/>
      <c r="EJ33" s="431"/>
      <c r="EK33" s="431"/>
      <c r="EL33" s="431"/>
      <c r="EM33" s="431"/>
      <c r="EN33" s="431"/>
      <c r="EO33" s="431"/>
      <c r="EP33" s="431"/>
      <c r="EQ33" s="431"/>
      <c r="ER33" s="431"/>
      <c r="ES33" s="431"/>
      <c r="ET33" s="431"/>
      <c r="EU33" s="431"/>
      <c r="EV33" s="431"/>
      <c r="EW33" s="431"/>
      <c r="EX33" s="431"/>
      <c r="EY33" s="431"/>
      <c r="EZ33" s="431"/>
      <c r="FA33" s="431"/>
      <c r="FB33" s="431"/>
      <c r="FC33" s="431"/>
      <c r="FD33" s="431"/>
      <c r="FE33" s="431"/>
      <c r="FF33" s="431"/>
      <c r="FG33" s="431"/>
      <c r="FH33" s="431"/>
      <c r="FI33" s="431"/>
      <c r="FJ33" s="431"/>
      <c r="FK33" s="431"/>
      <c r="FL33" s="431"/>
      <c r="FM33" s="431"/>
      <c r="FN33" s="431"/>
      <c r="FO33" s="431"/>
      <c r="FP33" s="431"/>
      <c r="FQ33" s="431"/>
      <c r="FR33" s="431"/>
      <c r="FS33" s="587"/>
    </row>
    <row r="34" spans="1:175" s="511" customFormat="1" ht="26.45" customHeight="1">
      <c r="A34" s="510"/>
      <c r="B34" s="508" t="s">
        <v>399</v>
      </c>
      <c r="C34" s="625" t="s">
        <v>409</v>
      </c>
      <c r="D34" s="632">
        <v>6311200</v>
      </c>
      <c r="F34" s="626">
        <v>45951</v>
      </c>
      <c r="G34" s="512"/>
      <c r="H34" s="150"/>
      <c r="I34" s="302"/>
      <c r="J34" s="150"/>
      <c r="K34" s="690"/>
      <c r="L34" s="684">
        <f t="shared" si="1"/>
        <v>6311200</v>
      </c>
      <c r="M34" s="492"/>
      <c r="N34" s="493"/>
      <c r="O34" s="513"/>
      <c r="P34" s="493"/>
      <c r="Q34" s="513"/>
      <c r="R34" s="493"/>
      <c r="S34" s="513"/>
      <c r="T34" s="493"/>
      <c r="U34" s="493"/>
      <c r="V34" s="513"/>
      <c r="W34" s="493"/>
      <c r="X34" s="694">
        <f t="shared" si="0"/>
        <v>6311200</v>
      </c>
      <c r="Y34" s="492"/>
      <c r="Z34" s="514"/>
      <c r="AA34" s="492"/>
      <c r="AB34" s="492"/>
      <c r="AC34" s="514"/>
      <c r="AD34" s="492"/>
      <c r="AE34" s="514"/>
      <c r="AF34" s="492"/>
      <c r="AG34" s="514"/>
      <c r="AH34" s="492"/>
      <c r="AI34" s="492"/>
      <c r="AJ34" s="514"/>
      <c r="AK34" s="492"/>
      <c r="AL34" s="514"/>
      <c r="AM34" s="492"/>
      <c r="AN34" s="514"/>
      <c r="AO34" s="492"/>
      <c r="AP34" s="492"/>
      <c r="AQ34" s="514"/>
      <c r="AR34" s="492"/>
      <c r="AS34" s="514"/>
      <c r="AT34" s="492"/>
      <c r="AU34" s="514"/>
      <c r="AV34" s="492"/>
      <c r="AW34" s="492"/>
      <c r="AX34" s="514"/>
      <c r="AY34" s="492"/>
      <c r="AZ34" s="514"/>
      <c r="BA34" s="492"/>
      <c r="BB34" s="514"/>
      <c r="BC34" s="492"/>
      <c r="BD34" s="492"/>
      <c r="BE34" s="514"/>
      <c r="BF34" s="492"/>
      <c r="BG34" s="514"/>
      <c r="BH34" s="492"/>
      <c r="BI34" s="514"/>
      <c r="BJ34" s="492"/>
      <c r="BK34" s="492"/>
      <c r="BL34" s="514"/>
      <c r="BM34" s="492"/>
      <c r="BN34" s="514"/>
      <c r="BO34" s="492"/>
      <c r="BP34" s="514"/>
      <c r="BQ34" s="492"/>
      <c r="BR34" s="492"/>
      <c r="BS34" s="514"/>
      <c r="BT34" s="492"/>
      <c r="BU34" s="514"/>
      <c r="BV34" s="492"/>
      <c r="BW34" s="514"/>
      <c r="BX34" s="492"/>
      <c r="BY34" s="492"/>
      <c r="BZ34" s="514"/>
      <c r="CA34" s="492"/>
      <c r="CB34" s="514"/>
      <c r="CC34" s="492"/>
      <c r="CD34" s="514"/>
      <c r="CE34" s="492"/>
      <c r="CF34" s="492"/>
      <c r="CG34" s="514"/>
      <c r="CH34" s="492"/>
      <c r="CI34" s="514"/>
      <c r="CJ34" s="492"/>
      <c r="CK34" s="586"/>
      <c r="CL34" s="492"/>
      <c r="CM34" s="492"/>
      <c r="CN34" s="514"/>
      <c r="CO34" s="492"/>
      <c r="CP34" s="514"/>
      <c r="CQ34" s="492"/>
      <c r="CR34" s="514"/>
      <c r="CS34" s="492"/>
      <c r="CT34" s="492"/>
      <c r="CU34" s="586"/>
      <c r="CV34" s="431"/>
      <c r="CW34" s="586"/>
      <c r="CX34" s="431"/>
      <c r="CY34" s="586"/>
      <c r="CZ34" s="431"/>
      <c r="DA34" s="431"/>
      <c r="DB34" s="586"/>
      <c r="DC34" s="431"/>
      <c r="DD34" s="586"/>
      <c r="DE34" s="431"/>
      <c r="DF34" s="586"/>
      <c r="DG34" s="431"/>
      <c r="DH34" s="431"/>
      <c r="DI34" s="431"/>
      <c r="DJ34" s="431"/>
      <c r="DK34" s="431"/>
      <c r="DL34" s="431"/>
      <c r="DM34" s="431"/>
      <c r="DN34" s="431"/>
      <c r="DO34" s="431"/>
      <c r="DP34" s="431"/>
      <c r="DQ34" s="431"/>
      <c r="DR34" s="431"/>
      <c r="DS34" s="431"/>
      <c r="DT34" s="431"/>
      <c r="DU34" s="431"/>
      <c r="DV34" s="431"/>
      <c r="DW34" s="431"/>
      <c r="DX34" s="431"/>
      <c r="DY34" s="431"/>
      <c r="DZ34" s="431"/>
      <c r="EA34" s="431"/>
      <c r="EB34" s="431"/>
      <c r="EC34" s="431"/>
      <c r="ED34" s="431"/>
      <c r="EE34" s="431"/>
      <c r="EF34" s="431"/>
      <c r="EG34" s="431"/>
      <c r="EH34" s="431"/>
      <c r="EI34" s="431"/>
      <c r="EJ34" s="431"/>
      <c r="EK34" s="431"/>
      <c r="EL34" s="431"/>
      <c r="EM34" s="431"/>
      <c r="EN34" s="431"/>
      <c r="EO34" s="431"/>
      <c r="EP34" s="431"/>
      <c r="EQ34" s="431"/>
      <c r="ER34" s="431"/>
      <c r="ES34" s="431"/>
      <c r="ET34" s="431"/>
      <c r="EU34" s="431"/>
      <c r="EV34" s="431"/>
      <c r="EW34" s="431"/>
      <c r="EX34" s="431"/>
      <c r="EY34" s="431"/>
      <c r="EZ34" s="431"/>
      <c r="FA34" s="431"/>
      <c r="FB34" s="431"/>
      <c r="FC34" s="431"/>
      <c r="FD34" s="431"/>
      <c r="FE34" s="431"/>
      <c r="FF34" s="431"/>
      <c r="FG34" s="431"/>
      <c r="FH34" s="431"/>
      <c r="FI34" s="431"/>
      <c r="FJ34" s="431"/>
      <c r="FK34" s="431"/>
      <c r="FL34" s="431"/>
      <c r="FM34" s="431"/>
      <c r="FN34" s="431"/>
      <c r="FO34" s="431"/>
      <c r="FP34" s="431"/>
      <c r="FQ34" s="431"/>
      <c r="FR34" s="431"/>
      <c r="FS34" s="587"/>
    </row>
    <row r="35" spans="1:175" s="511" customFormat="1" ht="26.45" customHeight="1">
      <c r="A35" s="510"/>
      <c r="B35" s="616" t="s">
        <v>410</v>
      </c>
      <c r="C35" s="624" t="s">
        <v>411</v>
      </c>
      <c r="D35" s="613">
        <v>136360000</v>
      </c>
      <c r="F35" s="626">
        <v>45951</v>
      </c>
      <c r="G35" s="512"/>
      <c r="H35" s="150"/>
      <c r="I35" s="302"/>
      <c r="J35" s="150"/>
      <c r="K35" s="690"/>
      <c r="L35" s="684">
        <f t="shared" si="1"/>
        <v>136360000</v>
      </c>
      <c r="M35" s="492"/>
      <c r="N35" s="493"/>
      <c r="O35" s="513"/>
      <c r="P35" s="493"/>
      <c r="Q35" s="513"/>
      <c r="R35" s="493"/>
      <c r="S35" s="513"/>
      <c r="T35" s="493"/>
      <c r="U35" s="493"/>
      <c r="V35" s="513"/>
      <c r="W35" s="493"/>
      <c r="X35" s="694">
        <f t="shared" si="0"/>
        <v>136360000</v>
      </c>
      <c r="Y35" s="492"/>
      <c r="Z35" s="514"/>
      <c r="AA35" s="492"/>
      <c r="AB35" s="492"/>
      <c r="AC35" s="514"/>
      <c r="AD35" s="492"/>
      <c r="AE35" s="514"/>
      <c r="AF35" s="492"/>
      <c r="AG35" s="514"/>
      <c r="AH35" s="492"/>
      <c r="AI35" s="492"/>
      <c r="AJ35" s="514"/>
      <c r="AK35" s="492"/>
      <c r="AL35" s="514"/>
      <c r="AM35" s="492"/>
      <c r="AN35" s="514"/>
      <c r="AO35" s="492"/>
      <c r="AP35" s="492"/>
      <c r="AQ35" s="514"/>
      <c r="AR35" s="492"/>
      <c r="AS35" s="514"/>
      <c r="AT35" s="492"/>
      <c r="AU35" s="514"/>
      <c r="AV35" s="492"/>
      <c r="AW35" s="492"/>
      <c r="AX35" s="514"/>
      <c r="AY35" s="492"/>
      <c r="AZ35" s="514"/>
      <c r="BA35" s="492"/>
      <c r="BB35" s="514"/>
      <c r="BC35" s="492"/>
      <c r="BD35" s="492"/>
      <c r="BE35" s="514"/>
      <c r="BF35" s="492"/>
      <c r="BG35" s="514"/>
      <c r="BH35" s="492"/>
      <c r="BI35" s="514"/>
      <c r="BJ35" s="492"/>
      <c r="BK35" s="492"/>
      <c r="BL35" s="514"/>
      <c r="BM35" s="492"/>
      <c r="BN35" s="514"/>
      <c r="BO35" s="492"/>
      <c r="BP35" s="514"/>
      <c r="BQ35" s="492"/>
      <c r="BR35" s="492"/>
      <c r="BS35" s="514"/>
      <c r="BT35" s="492"/>
      <c r="BU35" s="514"/>
      <c r="BV35" s="492"/>
      <c r="BW35" s="514"/>
      <c r="BX35" s="492"/>
      <c r="BY35" s="492"/>
      <c r="BZ35" s="514"/>
      <c r="CA35" s="492"/>
      <c r="CB35" s="514"/>
      <c r="CC35" s="492"/>
      <c r="CD35" s="514"/>
      <c r="CE35" s="492"/>
      <c r="CF35" s="492"/>
      <c r="CG35" s="514"/>
      <c r="CH35" s="492"/>
      <c r="CI35" s="514"/>
      <c r="CJ35" s="492"/>
      <c r="CK35" s="586"/>
      <c r="CL35" s="492"/>
      <c r="CM35" s="492"/>
      <c r="CN35" s="514"/>
      <c r="CO35" s="492"/>
      <c r="CP35" s="514"/>
      <c r="CQ35" s="492"/>
      <c r="CR35" s="514"/>
      <c r="CS35" s="492"/>
      <c r="CT35" s="492"/>
      <c r="CU35" s="586"/>
      <c r="CV35" s="431"/>
      <c r="CW35" s="586"/>
      <c r="CX35" s="431"/>
      <c r="CY35" s="586"/>
      <c r="CZ35" s="431"/>
      <c r="DA35" s="431"/>
      <c r="DB35" s="586"/>
      <c r="DC35" s="431"/>
      <c r="DD35" s="586"/>
      <c r="DE35" s="431"/>
      <c r="DF35" s="586"/>
      <c r="DG35" s="431"/>
      <c r="DH35" s="431"/>
      <c r="DI35" s="431"/>
      <c r="DJ35" s="431"/>
      <c r="DK35" s="431"/>
      <c r="DL35" s="431"/>
      <c r="DM35" s="431"/>
      <c r="DN35" s="431"/>
      <c r="DO35" s="431"/>
      <c r="DP35" s="431"/>
      <c r="DQ35" s="431"/>
      <c r="DR35" s="431"/>
      <c r="DS35" s="431"/>
      <c r="DT35" s="431"/>
      <c r="DU35" s="431"/>
      <c r="DV35" s="431"/>
      <c r="DW35" s="431"/>
      <c r="DX35" s="431"/>
      <c r="DY35" s="431"/>
      <c r="DZ35" s="431"/>
      <c r="EA35" s="431"/>
      <c r="EB35" s="431"/>
      <c r="EC35" s="431"/>
      <c r="ED35" s="431"/>
      <c r="EE35" s="431"/>
      <c r="EF35" s="431"/>
      <c r="EG35" s="431"/>
      <c r="EH35" s="431"/>
      <c r="EI35" s="431"/>
      <c r="EJ35" s="431"/>
      <c r="EK35" s="431"/>
      <c r="EL35" s="431"/>
      <c r="EM35" s="431"/>
      <c r="EN35" s="431"/>
      <c r="EO35" s="431"/>
      <c r="EP35" s="431"/>
      <c r="EQ35" s="431"/>
      <c r="ER35" s="431"/>
      <c r="ES35" s="431"/>
      <c r="ET35" s="431"/>
      <c r="EU35" s="431"/>
      <c r="EV35" s="431"/>
      <c r="EW35" s="431"/>
      <c r="EX35" s="431"/>
      <c r="EY35" s="431"/>
      <c r="EZ35" s="431"/>
      <c r="FA35" s="431"/>
      <c r="FB35" s="431"/>
      <c r="FC35" s="431"/>
      <c r="FD35" s="431"/>
      <c r="FE35" s="431"/>
      <c r="FF35" s="431"/>
      <c r="FG35" s="431"/>
      <c r="FH35" s="431"/>
      <c r="FI35" s="431"/>
      <c r="FJ35" s="431"/>
      <c r="FK35" s="431"/>
      <c r="FL35" s="431"/>
      <c r="FM35" s="431"/>
      <c r="FN35" s="431"/>
      <c r="FO35" s="431"/>
      <c r="FP35" s="431"/>
      <c r="FQ35" s="431"/>
      <c r="FR35" s="431"/>
      <c r="FS35" s="587"/>
    </row>
    <row r="36" spans="1:175" s="511" customFormat="1" ht="26.45" customHeight="1">
      <c r="A36" s="510"/>
      <c r="B36" s="616" t="s">
        <v>412</v>
      </c>
      <c r="C36" s="615" t="s">
        <v>413</v>
      </c>
      <c r="D36" s="613">
        <v>12796875</v>
      </c>
      <c r="F36" s="626">
        <v>45951</v>
      </c>
      <c r="G36" s="512"/>
      <c r="H36" s="150"/>
      <c r="I36" s="302"/>
      <c r="J36" s="150"/>
      <c r="K36" s="690"/>
      <c r="L36" s="684">
        <f t="shared" si="1"/>
        <v>12796875</v>
      </c>
      <c r="M36" s="492"/>
      <c r="N36" s="493"/>
      <c r="O36" s="513"/>
      <c r="P36" s="493"/>
      <c r="Q36" s="513"/>
      <c r="R36" s="493"/>
      <c r="S36" s="513"/>
      <c r="T36" s="493"/>
      <c r="U36" s="493"/>
      <c r="V36" s="513"/>
      <c r="W36" s="493"/>
      <c r="X36" s="694">
        <f t="shared" si="0"/>
        <v>12796875</v>
      </c>
      <c r="Y36" s="492"/>
      <c r="Z36" s="514"/>
      <c r="AA36" s="492"/>
      <c r="AB36" s="492"/>
      <c r="AC36" s="514"/>
      <c r="AD36" s="492"/>
      <c r="AE36" s="514"/>
      <c r="AF36" s="492"/>
      <c r="AG36" s="514"/>
      <c r="AH36" s="492"/>
      <c r="AI36" s="492"/>
      <c r="AJ36" s="514"/>
      <c r="AK36" s="492"/>
      <c r="AL36" s="514"/>
      <c r="AM36" s="492"/>
      <c r="AN36" s="514"/>
      <c r="AO36" s="492"/>
      <c r="AP36" s="492"/>
      <c r="AQ36" s="514"/>
      <c r="AR36" s="492"/>
      <c r="AS36" s="514"/>
      <c r="AT36" s="492"/>
      <c r="AU36" s="514"/>
      <c r="AV36" s="492"/>
      <c r="AW36" s="492"/>
      <c r="AX36" s="514"/>
      <c r="AY36" s="492"/>
      <c r="AZ36" s="514"/>
      <c r="BA36" s="492"/>
      <c r="BB36" s="514"/>
      <c r="BC36" s="492"/>
      <c r="BD36" s="492"/>
      <c r="BE36" s="514"/>
      <c r="BF36" s="492"/>
      <c r="BG36" s="514"/>
      <c r="BH36" s="492"/>
      <c r="BI36" s="514"/>
      <c r="BJ36" s="492"/>
      <c r="BK36" s="492"/>
      <c r="BL36" s="514"/>
      <c r="BM36" s="492"/>
      <c r="BN36" s="514"/>
      <c r="BO36" s="492"/>
      <c r="BP36" s="514"/>
      <c r="BQ36" s="492"/>
      <c r="BR36" s="492"/>
      <c r="BS36" s="514"/>
      <c r="BT36" s="492"/>
      <c r="BU36" s="514"/>
      <c r="BV36" s="492"/>
      <c r="BW36" s="514"/>
      <c r="BX36" s="492"/>
      <c r="BY36" s="492"/>
      <c r="BZ36" s="514"/>
      <c r="CA36" s="492"/>
      <c r="CB36" s="514"/>
      <c r="CC36" s="492"/>
      <c r="CD36" s="514"/>
      <c r="CE36" s="492"/>
      <c r="CF36" s="492"/>
      <c r="CG36" s="514"/>
      <c r="CH36" s="492"/>
      <c r="CI36" s="514"/>
      <c r="CJ36" s="492"/>
      <c r="CK36" s="586"/>
      <c r="CL36" s="492"/>
      <c r="CM36" s="492"/>
      <c r="CN36" s="514"/>
      <c r="CO36" s="492"/>
      <c r="CP36" s="514"/>
      <c r="CQ36" s="492"/>
      <c r="CR36" s="514"/>
      <c r="CS36" s="492"/>
      <c r="CT36" s="492"/>
      <c r="CU36" s="586"/>
      <c r="CV36" s="431"/>
      <c r="CW36" s="586"/>
      <c r="CX36" s="431"/>
      <c r="CY36" s="586"/>
      <c r="CZ36" s="431"/>
      <c r="DA36" s="431"/>
      <c r="DB36" s="586"/>
      <c r="DC36" s="431"/>
      <c r="DD36" s="586"/>
      <c r="DE36" s="431"/>
      <c r="DF36" s="586"/>
      <c r="DG36" s="431"/>
      <c r="DH36" s="431"/>
      <c r="DI36" s="431"/>
      <c r="DJ36" s="431"/>
      <c r="DK36" s="431"/>
      <c r="DL36" s="431"/>
      <c r="DM36" s="431"/>
      <c r="DN36" s="431"/>
      <c r="DO36" s="431"/>
      <c r="DP36" s="431"/>
      <c r="DQ36" s="431"/>
      <c r="DR36" s="431"/>
      <c r="DS36" s="431"/>
      <c r="DT36" s="431"/>
      <c r="DU36" s="431"/>
      <c r="DV36" s="431"/>
      <c r="DW36" s="431"/>
      <c r="DX36" s="431"/>
      <c r="DY36" s="431"/>
      <c r="DZ36" s="431"/>
      <c r="EA36" s="431"/>
      <c r="EB36" s="431"/>
      <c r="EC36" s="431"/>
      <c r="ED36" s="431"/>
      <c r="EE36" s="431"/>
      <c r="EF36" s="431"/>
      <c r="EG36" s="431"/>
      <c r="EH36" s="431"/>
      <c r="EI36" s="431"/>
      <c r="EJ36" s="431"/>
      <c r="EK36" s="431"/>
      <c r="EL36" s="431"/>
      <c r="EM36" s="431"/>
      <c r="EN36" s="431"/>
      <c r="EO36" s="431"/>
      <c r="EP36" s="431"/>
      <c r="EQ36" s="431"/>
      <c r="ER36" s="431"/>
      <c r="ES36" s="431"/>
      <c r="ET36" s="431"/>
      <c r="EU36" s="431"/>
      <c r="EV36" s="431"/>
      <c r="EW36" s="431"/>
      <c r="EX36" s="431"/>
      <c r="EY36" s="431"/>
      <c r="EZ36" s="431"/>
      <c r="FA36" s="431"/>
      <c r="FB36" s="431"/>
      <c r="FC36" s="431"/>
      <c r="FD36" s="431"/>
      <c r="FE36" s="431"/>
      <c r="FF36" s="431"/>
      <c r="FG36" s="431"/>
      <c r="FH36" s="431"/>
      <c r="FI36" s="431"/>
      <c r="FJ36" s="431"/>
      <c r="FK36" s="431"/>
      <c r="FL36" s="431"/>
      <c r="FM36" s="431"/>
      <c r="FN36" s="431"/>
      <c r="FO36" s="431"/>
      <c r="FP36" s="431"/>
      <c r="FQ36" s="431"/>
      <c r="FR36" s="431"/>
      <c r="FS36" s="587"/>
    </row>
    <row r="37" spans="1:175" s="511" customFormat="1" ht="26.45" customHeight="1">
      <c r="A37" s="510"/>
      <c r="B37" s="616" t="s">
        <v>396</v>
      </c>
      <c r="C37" s="615" t="s">
        <v>414</v>
      </c>
      <c r="D37" s="613">
        <v>57671250</v>
      </c>
      <c r="F37" s="626">
        <v>45951</v>
      </c>
      <c r="G37" s="512"/>
      <c r="H37" s="150"/>
      <c r="I37" s="302"/>
      <c r="J37" s="150"/>
      <c r="K37" s="690"/>
      <c r="L37" s="684">
        <f t="shared" si="1"/>
        <v>57671250</v>
      </c>
      <c r="M37" s="492"/>
      <c r="N37" s="493"/>
      <c r="O37" s="513"/>
      <c r="P37" s="493"/>
      <c r="Q37" s="513"/>
      <c r="R37" s="493"/>
      <c r="S37" s="513"/>
      <c r="T37" s="493"/>
      <c r="U37" s="493"/>
      <c r="V37" s="513"/>
      <c r="W37" s="493"/>
      <c r="X37" s="694">
        <f t="shared" si="0"/>
        <v>57671250</v>
      </c>
      <c r="Y37" s="492"/>
      <c r="Z37" s="514"/>
      <c r="AA37" s="492"/>
      <c r="AB37" s="492"/>
      <c r="AC37" s="514"/>
      <c r="AD37" s="492"/>
      <c r="AE37" s="514"/>
      <c r="AF37" s="492"/>
      <c r="AG37" s="514"/>
      <c r="AH37" s="492"/>
      <c r="AI37" s="492"/>
      <c r="AJ37" s="514"/>
      <c r="AK37" s="492"/>
      <c r="AL37" s="514"/>
      <c r="AM37" s="492"/>
      <c r="AN37" s="514"/>
      <c r="AO37" s="492"/>
      <c r="AP37" s="492"/>
      <c r="AQ37" s="514"/>
      <c r="AR37" s="492"/>
      <c r="AS37" s="514"/>
      <c r="AT37" s="492"/>
      <c r="AU37" s="514"/>
      <c r="AV37" s="492"/>
      <c r="AW37" s="492"/>
      <c r="AX37" s="514"/>
      <c r="AY37" s="492"/>
      <c r="AZ37" s="514"/>
      <c r="BA37" s="492"/>
      <c r="BB37" s="514"/>
      <c r="BC37" s="492"/>
      <c r="BD37" s="492"/>
      <c r="BE37" s="514"/>
      <c r="BF37" s="492"/>
      <c r="BG37" s="514"/>
      <c r="BH37" s="492"/>
      <c r="BI37" s="514"/>
      <c r="BJ37" s="492"/>
      <c r="BK37" s="492"/>
      <c r="BL37" s="514"/>
      <c r="BM37" s="492"/>
      <c r="BN37" s="514"/>
      <c r="BO37" s="492"/>
      <c r="BP37" s="514"/>
      <c r="BQ37" s="492"/>
      <c r="BR37" s="492"/>
      <c r="BS37" s="514"/>
      <c r="BT37" s="492"/>
      <c r="BU37" s="514"/>
      <c r="BV37" s="492"/>
      <c r="BW37" s="514"/>
      <c r="BX37" s="492"/>
      <c r="BY37" s="492"/>
      <c r="BZ37" s="514"/>
      <c r="CA37" s="492"/>
      <c r="CB37" s="514"/>
      <c r="CC37" s="492"/>
      <c r="CD37" s="514"/>
      <c r="CE37" s="492"/>
      <c r="CF37" s="492"/>
      <c r="CG37" s="514"/>
      <c r="CH37" s="492"/>
      <c r="CI37" s="514"/>
      <c r="CJ37" s="492"/>
      <c r="CK37" s="586"/>
      <c r="CL37" s="492"/>
      <c r="CM37" s="492"/>
      <c r="CN37" s="514"/>
      <c r="CO37" s="492"/>
      <c r="CP37" s="514"/>
      <c r="CQ37" s="492"/>
      <c r="CR37" s="514"/>
      <c r="CS37" s="492"/>
      <c r="CT37" s="492"/>
      <c r="CU37" s="586"/>
      <c r="CV37" s="431"/>
      <c r="CW37" s="586"/>
      <c r="CX37" s="431"/>
      <c r="CY37" s="586"/>
      <c r="CZ37" s="431"/>
      <c r="DA37" s="431"/>
      <c r="DB37" s="586"/>
      <c r="DC37" s="431"/>
      <c r="DD37" s="586"/>
      <c r="DE37" s="431"/>
      <c r="DF37" s="586"/>
      <c r="DG37" s="431"/>
      <c r="DH37" s="431"/>
      <c r="DI37" s="431"/>
      <c r="DJ37" s="431"/>
      <c r="DK37" s="431"/>
      <c r="DL37" s="431"/>
      <c r="DM37" s="431"/>
      <c r="DN37" s="431"/>
      <c r="DO37" s="431"/>
      <c r="DP37" s="431"/>
      <c r="DQ37" s="431"/>
      <c r="DR37" s="431"/>
      <c r="DS37" s="431"/>
      <c r="DT37" s="431"/>
      <c r="DU37" s="431"/>
      <c r="DV37" s="431"/>
      <c r="DW37" s="431"/>
      <c r="DX37" s="431"/>
      <c r="DY37" s="431"/>
      <c r="DZ37" s="431"/>
      <c r="EA37" s="431"/>
      <c r="EB37" s="431"/>
      <c r="EC37" s="431"/>
      <c r="ED37" s="431"/>
      <c r="EE37" s="431"/>
      <c r="EF37" s="431"/>
      <c r="EG37" s="431"/>
      <c r="EH37" s="431"/>
      <c r="EI37" s="431"/>
      <c r="EJ37" s="431"/>
      <c r="EK37" s="431"/>
      <c r="EL37" s="431"/>
      <c r="EM37" s="431"/>
      <c r="EN37" s="431"/>
      <c r="EO37" s="431"/>
      <c r="EP37" s="431"/>
      <c r="EQ37" s="431"/>
      <c r="ER37" s="431"/>
      <c r="ES37" s="431"/>
      <c r="ET37" s="431"/>
      <c r="EU37" s="431"/>
      <c r="EV37" s="431"/>
      <c r="EW37" s="431"/>
      <c r="EX37" s="431"/>
      <c r="EY37" s="431"/>
      <c r="EZ37" s="431"/>
      <c r="FA37" s="431"/>
      <c r="FB37" s="431"/>
      <c r="FC37" s="431"/>
      <c r="FD37" s="431"/>
      <c r="FE37" s="431"/>
      <c r="FF37" s="431"/>
      <c r="FG37" s="431"/>
      <c r="FH37" s="431"/>
      <c r="FI37" s="431"/>
      <c r="FJ37" s="431"/>
      <c r="FK37" s="431"/>
      <c r="FL37" s="431"/>
      <c r="FM37" s="431"/>
      <c r="FN37" s="431"/>
      <c r="FO37" s="431"/>
      <c r="FP37" s="431"/>
      <c r="FQ37" s="431"/>
      <c r="FR37" s="431"/>
      <c r="FS37" s="587"/>
    </row>
    <row r="38" spans="1:175" s="511" customFormat="1" ht="26.45" customHeight="1">
      <c r="A38" s="510"/>
      <c r="B38" s="616" t="s">
        <v>415</v>
      </c>
      <c r="C38" s="615" t="s">
        <v>416</v>
      </c>
      <c r="D38" s="613">
        <v>16170000</v>
      </c>
      <c r="F38" s="626">
        <v>45951</v>
      </c>
      <c r="G38" s="512"/>
      <c r="H38" s="150"/>
      <c r="I38" s="302"/>
      <c r="J38" s="150"/>
      <c r="K38" s="690"/>
      <c r="L38" s="684">
        <f>D38</f>
        <v>16170000</v>
      </c>
      <c r="M38" s="492"/>
      <c r="N38" s="493"/>
      <c r="O38" s="513"/>
      <c r="P38" s="493"/>
      <c r="Q38" s="513"/>
      <c r="R38" s="493"/>
      <c r="S38" s="513"/>
      <c r="T38" s="493"/>
      <c r="U38" s="493"/>
      <c r="V38" s="513"/>
      <c r="W38" s="493"/>
      <c r="X38" s="694">
        <f t="shared" si="0"/>
        <v>16170000</v>
      </c>
      <c r="Y38" s="492"/>
      <c r="Z38" s="514"/>
      <c r="AA38" s="492"/>
      <c r="AB38" s="492"/>
      <c r="AC38" s="514"/>
      <c r="AD38" s="492"/>
      <c r="AE38" s="514"/>
      <c r="AF38" s="492"/>
      <c r="AG38" s="514"/>
      <c r="AH38" s="492"/>
      <c r="AI38" s="492"/>
      <c r="AJ38" s="514"/>
      <c r="AK38" s="492"/>
      <c r="AL38" s="514"/>
      <c r="AM38" s="492"/>
      <c r="AN38" s="514"/>
      <c r="AO38" s="492"/>
      <c r="AP38" s="492"/>
      <c r="AQ38" s="514"/>
      <c r="AR38" s="492"/>
      <c r="AS38" s="514"/>
      <c r="AT38" s="492"/>
      <c r="AU38" s="514"/>
      <c r="AV38" s="492"/>
      <c r="AW38" s="492"/>
      <c r="AX38" s="514"/>
      <c r="AY38" s="492"/>
      <c r="AZ38" s="514"/>
      <c r="BA38" s="492"/>
      <c r="BB38" s="514"/>
      <c r="BC38" s="492"/>
      <c r="BD38" s="492"/>
      <c r="BE38" s="514"/>
      <c r="BF38" s="492"/>
      <c r="BG38" s="514"/>
      <c r="BH38" s="492"/>
      <c r="BI38" s="514"/>
      <c r="BJ38" s="492"/>
      <c r="BK38" s="492"/>
      <c r="BL38" s="514"/>
      <c r="BM38" s="492"/>
      <c r="BN38" s="514"/>
      <c r="BO38" s="492"/>
      <c r="BP38" s="514"/>
      <c r="BQ38" s="492"/>
      <c r="BR38" s="492"/>
      <c r="BS38" s="514"/>
      <c r="BT38" s="492"/>
      <c r="BU38" s="514"/>
      <c r="BV38" s="492"/>
      <c r="BW38" s="514"/>
      <c r="BX38" s="492"/>
      <c r="BY38" s="492"/>
      <c r="BZ38" s="514"/>
      <c r="CA38" s="492"/>
      <c r="CB38" s="514"/>
      <c r="CC38" s="492"/>
      <c r="CD38" s="514"/>
      <c r="CE38" s="492"/>
      <c r="CF38" s="492"/>
      <c r="CG38" s="514"/>
      <c r="CH38" s="492"/>
      <c r="CI38" s="514"/>
      <c r="CJ38" s="492"/>
      <c r="CK38" s="586"/>
      <c r="CL38" s="492"/>
      <c r="CM38" s="492"/>
      <c r="CN38" s="514"/>
      <c r="CO38" s="492"/>
      <c r="CP38" s="514"/>
      <c r="CQ38" s="492"/>
      <c r="CR38" s="514"/>
      <c r="CS38" s="492"/>
      <c r="CT38" s="492"/>
      <c r="CU38" s="586"/>
      <c r="CV38" s="431"/>
      <c r="CW38" s="586"/>
      <c r="CX38" s="431"/>
      <c r="CY38" s="586"/>
      <c r="CZ38" s="431"/>
      <c r="DA38" s="431"/>
      <c r="DB38" s="586"/>
      <c r="DC38" s="431"/>
      <c r="DD38" s="586"/>
      <c r="DE38" s="431"/>
      <c r="DF38" s="586"/>
      <c r="DG38" s="431"/>
      <c r="DH38" s="431"/>
      <c r="DI38" s="431"/>
      <c r="DJ38" s="431"/>
      <c r="DK38" s="431"/>
      <c r="DL38" s="431"/>
      <c r="DM38" s="431"/>
      <c r="DN38" s="431"/>
      <c r="DO38" s="431"/>
      <c r="DP38" s="431"/>
      <c r="DQ38" s="431"/>
      <c r="DR38" s="431"/>
      <c r="DS38" s="431"/>
      <c r="DT38" s="431"/>
      <c r="DU38" s="431"/>
      <c r="DV38" s="431"/>
      <c r="DW38" s="431"/>
      <c r="DX38" s="431"/>
      <c r="DY38" s="431"/>
      <c r="DZ38" s="431"/>
      <c r="EA38" s="431"/>
      <c r="EB38" s="431"/>
      <c r="EC38" s="431"/>
      <c r="ED38" s="431"/>
      <c r="EE38" s="431"/>
      <c r="EF38" s="431"/>
      <c r="EG38" s="431"/>
      <c r="EH38" s="431"/>
      <c r="EI38" s="431"/>
      <c r="EJ38" s="431"/>
      <c r="EK38" s="431"/>
      <c r="EL38" s="431"/>
      <c r="EM38" s="431"/>
      <c r="EN38" s="431"/>
      <c r="EO38" s="431"/>
      <c r="EP38" s="431"/>
      <c r="EQ38" s="431"/>
      <c r="ER38" s="431"/>
      <c r="ES38" s="431"/>
      <c r="ET38" s="431"/>
      <c r="EU38" s="431"/>
      <c r="EV38" s="431"/>
      <c r="EW38" s="431"/>
      <c r="EX38" s="431"/>
      <c r="EY38" s="431"/>
      <c r="EZ38" s="431"/>
      <c r="FA38" s="431"/>
      <c r="FB38" s="431"/>
      <c r="FC38" s="431"/>
      <c r="FD38" s="431"/>
      <c r="FE38" s="431"/>
      <c r="FF38" s="431"/>
      <c r="FG38" s="431"/>
      <c r="FH38" s="431"/>
      <c r="FI38" s="431"/>
      <c r="FJ38" s="431"/>
      <c r="FK38" s="431"/>
      <c r="FL38" s="431"/>
      <c r="FM38" s="431"/>
      <c r="FN38" s="431"/>
      <c r="FO38" s="431"/>
      <c r="FP38" s="431"/>
      <c r="FQ38" s="431"/>
      <c r="FR38" s="431"/>
      <c r="FS38" s="587"/>
    </row>
    <row r="39" spans="1:175" s="511" customFormat="1" ht="26.45" customHeight="1">
      <c r="A39" s="510"/>
      <c r="B39" s="616" t="s">
        <v>417</v>
      </c>
      <c r="C39" s="615" t="s">
        <v>418</v>
      </c>
      <c r="D39" s="613">
        <v>38814900</v>
      </c>
      <c r="F39" s="626">
        <v>45951</v>
      </c>
      <c r="G39" s="512"/>
      <c r="H39" s="150"/>
      <c r="I39" s="302"/>
      <c r="J39" s="150"/>
      <c r="K39" s="690"/>
      <c r="L39" s="684">
        <f t="shared" si="1"/>
        <v>38814900</v>
      </c>
      <c r="M39" s="492"/>
      <c r="N39" s="493"/>
      <c r="O39" s="513"/>
      <c r="P39" s="493"/>
      <c r="Q39" s="513"/>
      <c r="R39" s="493"/>
      <c r="S39" s="513"/>
      <c r="T39" s="493"/>
      <c r="U39" s="493"/>
      <c r="V39" s="513"/>
      <c r="W39" s="493"/>
      <c r="X39" s="694">
        <f t="shared" si="0"/>
        <v>38814900</v>
      </c>
      <c r="Y39" s="492"/>
      <c r="Z39" s="514"/>
      <c r="AA39" s="492"/>
      <c r="AB39" s="492"/>
      <c r="AC39" s="514"/>
      <c r="AD39" s="492"/>
      <c r="AE39" s="514"/>
      <c r="AF39" s="492"/>
      <c r="AG39" s="514"/>
      <c r="AH39" s="492"/>
      <c r="AI39" s="492"/>
      <c r="AJ39" s="514"/>
      <c r="AK39" s="492"/>
      <c r="AL39" s="514"/>
      <c r="AM39" s="492"/>
      <c r="AN39" s="514"/>
      <c r="AO39" s="492"/>
      <c r="AP39" s="492"/>
      <c r="AQ39" s="514"/>
      <c r="AR39" s="492"/>
      <c r="AS39" s="514"/>
      <c r="AT39" s="492"/>
      <c r="AU39" s="514"/>
      <c r="AV39" s="492"/>
      <c r="AW39" s="492"/>
      <c r="AX39" s="514"/>
      <c r="AY39" s="492"/>
      <c r="AZ39" s="514"/>
      <c r="BA39" s="492"/>
      <c r="BB39" s="514"/>
      <c r="BC39" s="492"/>
      <c r="BD39" s="492"/>
      <c r="BE39" s="514"/>
      <c r="BF39" s="492"/>
      <c r="BG39" s="514"/>
      <c r="BH39" s="492"/>
      <c r="BI39" s="514"/>
      <c r="BJ39" s="492"/>
      <c r="BK39" s="492"/>
      <c r="BL39" s="514"/>
      <c r="BM39" s="492"/>
      <c r="BN39" s="514"/>
      <c r="BO39" s="492"/>
      <c r="BP39" s="514"/>
      <c r="BQ39" s="492"/>
      <c r="BR39" s="492"/>
      <c r="BS39" s="514"/>
      <c r="BT39" s="492"/>
      <c r="BU39" s="514"/>
      <c r="BV39" s="492"/>
      <c r="BW39" s="514"/>
      <c r="BX39" s="492"/>
      <c r="BY39" s="492"/>
      <c r="BZ39" s="514"/>
      <c r="CA39" s="492"/>
      <c r="CB39" s="514"/>
      <c r="CC39" s="492"/>
      <c r="CD39" s="514"/>
      <c r="CE39" s="492"/>
      <c r="CF39" s="492"/>
      <c r="CG39" s="514"/>
      <c r="CH39" s="492"/>
      <c r="CI39" s="514"/>
      <c r="CJ39" s="492"/>
      <c r="CK39" s="586"/>
      <c r="CL39" s="492"/>
      <c r="CM39" s="492"/>
      <c r="CN39" s="514"/>
      <c r="CO39" s="492"/>
      <c r="CP39" s="514"/>
      <c r="CQ39" s="492"/>
      <c r="CR39" s="514"/>
      <c r="CS39" s="492"/>
      <c r="CT39" s="492"/>
      <c r="CU39" s="586"/>
      <c r="CV39" s="431"/>
      <c r="CW39" s="586"/>
      <c r="CX39" s="431"/>
      <c r="CY39" s="586"/>
      <c r="CZ39" s="431"/>
      <c r="DA39" s="431"/>
      <c r="DB39" s="586"/>
      <c r="DC39" s="431"/>
      <c r="DD39" s="586"/>
      <c r="DE39" s="431"/>
      <c r="DF39" s="586"/>
      <c r="DG39" s="431"/>
      <c r="DH39" s="431"/>
      <c r="DI39" s="431"/>
      <c r="DJ39" s="431"/>
      <c r="DK39" s="431"/>
      <c r="DL39" s="431"/>
      <c r="DM39" s="431"/>
      <c r="DN39" s="431"/>
      <c r="DO39" s="431"/>
      <c r="DP39" s="431"/>
      <c r="DQ39" s="431"/>
      <c r="DR39" s="431"/>
      <c r="DS39" s="431"/>
      <c r="DT39" s="431"/>
      <c r="DU39" s="431"/>
      <c r="DV39" s="431"/>
      <c r="DW39" s="431"/>
      <c r="DX39" s="431"/>
      <c r="DY39" s="431"/>
      <c r="DZ39" s="431"/>
      <c r="EA39" s="431"/>
      <c r="EB39" s="431"/>
      <c r="EC39" s="431"/>
      <c r="ED39" s="431"/>
      <c r="EE39" s="431"/>
      <c r="EF39" s="431"/>
      <c r="EG39" s="431"/>
      <c r="EH39" s="431"/>
      <c r="EI39" s="431"/>
      <c r="EJ39" s="431"/>
      <c r="EK39" s="431"/>
      <c r="EL39" s="431"/>
      <c r="EM39" s="431"/>
      <c r="EN39" s="431"/>
      <c r="EO39" s="431"/>
      <c r="EP39" s="431"/>
      <c r="EQ39" s="431"/>
      <c r="ER39" s="431"/>
      <c r="ES39" s="431"/>
      <c r="ET39" s="431"/>
      <c r="EU39" s="431"/>
      <c r="EV39" s="431"/>
      <c r="EW39" s="431"/>
      <c r="EX39" s="431"/>
      <c r="EY39" s="431"/>
      <c r="EZ39" s="431"/>
      <c r="FA39" s="431"/>
      <c r="FB39" s="431"/>
      <c r="FC39" s="431"/>
      <c r="FD39" s="431"/>
      <c r="FE39" s="431"/>
      <c r="FF39" s="431"/>
      <c r="FG39" s="431"/>
      <c r="FH39" s="431"/>
      <c r="FI39" s="431"/>
      <c r="FJ39" s="431"/>
      <c r="FK39" s="431"/>
      <c r="FL39" s="431"/>
      <c r="FM39" s="431"/>
      <c r="FN39" s="431"/>
      <c r="FO39" s="431"/>
      <c r="FP39" s="431"/>
      <c r="FQ39" s="431"/>
      <c r="FR39" s="431"/>
      <c r="FS39" s="587"/>
    </row>
    <row r="40" spans="1:175" s="511" customFormat="1" ht="26.45" customHeight="1">
      <c r="A40" s="510"/>
      <c r="B40" s="633" t="s">
        <v>419</v>
      </c>
      <c r="C40" s="634" t="s">
        <v>420</v>
      </c>
      <c r="D40" s="635">
        <v>31200</v>
      </c>
      <c r="F40" s="626">
        <v>45951</v>
      </c>
      <c r="G40" s="512"/>
      <c r="H40" s="150"/>
      <c r="I40" s="302"/>
      <c r="J40" s="150"/>
      <c r="K40" s="690"/>
      <c r="L40" s="684">
        <f t="shared" si="1"/>
        <v>31200</v>
      </c>
      <c r="M40" s="492"/>
      <c r="N40" s="493"/>
      <c r="O40" s="513"/>
      <c r="P40" s="493"/>
      <c r="Q40" s="513"/>
      <c r="R40" s="493"/>
      <c r="S40" s="513"/>
      <c r="T40" s="493"/>
      <c r="U40" s="493"/>
      <c r="V40" s="513"/>
      <c r="W40" s="493"/>
      <c r="X40" s="694">
        <f t="shared" si="0"/>
        <v>31200</v>
      </c>
      <c r="Y40" s="492"/>
      <c r="Z40" s="514"/>
      <c r="AA40" s="492"/>
      <c r="AB40" s="492"/>
      <c r="AC40" s="514"/>
      <c r="AD40" s="492"/>
      <c r="AE40" s="514"/>
      <c r="AF40" s="492"/>
      <c r="AG40" s="514"/>
      <c r="AH40" s="492"/>
      <c r="AI40" s="492"/>
      <c r="AJ40" s="514"/>
      <c r="AK40" s="492"/>
      <c r="AL40" s="514"/>
      <c r="AM40" s="492"/>
      <c r="AN40" s="514"/>
      <c r="AO40" s="492"/>
      <c r="AP40" s="492"/>
      <c r="AQ40" s="514"/>
      <c r="AR40" s="492"/>
      <c r="AS40" s="514"/>
      <c r="AT40" s="492"/>
      <c r="AU40" s="514"/>
      <c r="AV40" s="492"/>
      <c r="AW40" s="492"/>
      <c r="AX40" s="514"/>
      <c r="AY40" s="492"/>
      <c r="AZ40" s="514"/>
      <c r="BA40" s="492"/>
      <c r="BB40" s="514"/>
      <c r="BC40" s="492"/>
      <c r="BD40" s="492"/>
      <c r="BE40" s="514"/>
      <c r="BF40" s="492"/>
      <c r="BG40" s="514"/>
      <c r="BH40" s="492"/>
      <c r="BI40" s="514"/>
      <c r="BJ40" s="492"/>
      <c r="BK40" s="492"/>
      <c r="BL40" s="514"/>
      <c r="BM40" s="492"/>
      <c r="BN40" s="514"/>
      <c r="BO40" s="492"/>
      <c r="BP40" s="514"/>
      <c r="BQ40" s="492"/>
      <c r="BR40" s="492"/>
      <c r="BS40" s="514"/>
      <c r="BT40" s="492"/>
      <c r="BU40" s="514"/>
      <c r="BV40" s="492"/>
      <c r="BW40" s="514"/>
      <c r="BX40" s="492"/>
      <c r="BY40" s="492"/>
      <c r="BZ40" s="514"/>
      <c r="CA40" s="492"/>
      <c r="CB40" s="514"/>
      <c r="CC40" s="492"/>
      <c r="CD40" s="514"/>
      <c r="CE40" s="492"/>
      <c r="CF40" s="492"/>
      <c r="CG40" s="514"/>
      <c r="CH40" s="492"/>
      <c r="CI40" s="514"/>
      <c r="CJ40" s="492"/>
      <c r="CK40" s="586"/>
      <c r="CL40" s="492"/>
      <c r="CM40" s="492"/>
      <c r="CN40" s="514"/>
      <c r="CO40" s="492"/>
      <c r="CP40" s="514"/>
      <c r="CQ40" s="492"/>
      <c r="CR40" s="514"/>
      <c r="CS40" s="492"/>
      <c r="CT40" s="492"/>
      <c r="CU40" s="586"/>
      <c r="CV40" s="431"/>
      <c r="CW40" s="586"/>
      <c r="CX40" s="431"/>
      <c r="CY40" s="586"/>
      <c r="CZ40" s="431"/>
      <c r="DA40" s="431"/>
      <c r="DB40" s="586"/>
      <c r="DC40" s="431"/>
      <c r="DD40" s="586"/>
      <c r="DE40" s="431"/>
      <c r="DF40" s="586"/>
      <c r="DG40" s="431"/>
      <c r="DH40" s="431"/>
      <c r="DI40" s="431"/>
      <c r="DJ40" s="431"/>
      <c r="DK40" s="431"/>
      <c r="DL40" s="431"/>
      <c r="DM40" s="431"/>
      <c r="DN40" s="431"/>
      <c r="DO40" s="431"/>
      <c r="DP40" s="431"/>
      <c r="DQ40" s="431"/>
      <c r="DR40" s="431"/>
      <c r="DS40" s="431"/>
      <c r="DT40" s="431"/>
      <c r="DU40" s="431"/>
      <c r="DV40" s="431"/>
      <c r="DW40" s="431"/>
      <c r="DX40" s="431"/>
      <c r="DY40" s="431"/>
      <c r="DZ40" s="431"/>
      <c r="EA40" s="431"/>
      <c r="EB40" s="431"/>
      <c r="EC40" s="431"/>
      <c r="ED40" s="431"/>
      <c r="EE40" s="431"/>
      <c r="EF40" s="431"/>
      <c r="EG40" s="431"/>
      <c r="EH40" s="431"/>
      <c r="EI40" s="431"/>
      <c r="EJ40" s="431"/>
      <c r="EK40" s="431"/>
      <c r="EL40" s="431"/>
      <c r="EM40" s="431"/>
      <c r="EN40" s="431"/>
      <c r="EO40" s="431"/>
      <c r="EP40" s="431"/>
      <c r="EQ40" s="431"/>
      <c r="ER40" s="431"/>
      <c r="ES40" s="431"/>
      <c r="ET40" s="431"/>
      <c r="EU40" s="431"/>
      <c r="EV40" s="431"/>
      <c r="EW40" s="431"/>
      <c r="EX40" s="431"/>
      <c r="EY40" s="431"/>
      <c r="EZ40" s="431"/>
      <c r="FA40" s="431"/>
      <c r="FB40" s="431"/>
      <c r="FC40" s="431"/>
      <c r="FD40" s="431"/>
      <c r="FE40" s="431"/>
      <c r="FF40" s="431"/>
      <c r="FG40" s="431"/>
      <c r="FH40" s="431"/>
      <c r="FI40" s="431"/>
      <c r="FJ40" s="431"/>
      <c r="FK40" s="431"/>
      <c r="FL40" s="431"/>
      <c r="FM40" s="431"/>
      <c r="FN40" s="431"/>
      <c r="FO40" s="431"/>
      <c r="FP40" s="431"/>
      <c r="FQ40" s="431"/>
      <c r="FR40" s="431"/>
      <c r="FS40" s="587"/>
    </row>
    <row r="41" spans="1:175" s="511" customFormat="1" ht="26.45" customHeight="1">
      <c r="A41" s="510"/>
      <c r="B41" s="508" t="s">
        <v>421</v>
      </c>
      <c r="C41" s="625" t="s">
        <v>316</v>
      </c>
      <c r="D41" s="494">
        <v>14100000</v>
      </c>
      <c r="F41" s="626">
        <v>45951</v>
      </c>
      <c r="G41" s="512"/>
      <c r="H41" s="150"/>
      <c r="I41" s="302"/>
      <c r="J41" s="150"/>
      <c r="K41" s="690"/>
      <c r="L41" s="684">
        <f t="shared" si="1"/>
        <v>14100000</v>
      </c>
      <c r="M41" s="492"/>
      <c r="N41" s="493"/>
      <c r="O41" s="513"/>
      <c r="P41" s="493"/>
      <c r="Q41" s="513"/>
      <c r="R41" s="493"/>
      <c r="S41" s="513"/>
      <c r="T41" s="493"/>
      <c r="U41" s="493"/>
      <c r="V41" s="513"/>
      <c r="W41" s="493"/>
      <c r="X41" s="694">
        <f t="shared" si="0"/>
        <v>14100000</v>
      </c>
      <c r="Y41" s="492"/>
      <c r="Z41" s="514"/>
      <c r="AA41" s="492"/>
      <c r="AB41" s="492"/>
      <c r="AC41" s="514"/>
      <c r="AD41" s="492"/>
      <c r="AE41" s="514"/>
      <c r="AF41" s="492"/>
      <c r="AG41" s="514"/>
      <c r="AH41" s="492"/>
      <c r="AI41" s="492"/>
      <c r="AJ41" s="514"/>
      <c r="AK41" s="492"/>
      <c r="AL41" s="514"/>
      <c r="AM41" s="492"/>
      <c r="AN41" s="514"/>
      <c r="AO41" s="492"/>
      <c r="AP41" s="492"/>
      <c r="AQ41" s="514"/>
      <c r="AR41" s="492"/>
      <c r="AS41" s="514"/>
      <c r="AT41" s="492"/>
      <c r="AU41" s="514"/>
      <c r="AV41" s="492"/>
      <c r="AW41" s="492"/>
      <c r="AX41" s="514"/>
      <c r="AY41" s="492"/>
      <c r="AZ41" s="514"/>
      <c r="BA41" s="492"/>
      <c r="BB41" s="514"/>
      <c r="BC41" s="492"/>
      <c r="BD41" s="492"/>
      <c r="BE41" s="514"/>
      <c r="BF41" s="492"/>
      <c r="BG41" s="514"/>
      <c r="BH41" s="492"/>
      <c r="BI41" s="514"/>
      <c r="BJ41" s="492"/>
      <c r="BK41" s="492"/>
      <c r="BL41" s="514"/>
      <c r="BM41" s="492"/>
      <c r="BN41" s="514"/>
      <c r="BO41" s="492"/>
      <c r="BP41" s="514"/>
      <c r="BQ41" s="492"/>
      <c r="BR41" s="492"/>
      <c r="BS41" s="514"/>
      <c r="BT41" s="492"/>
      <c r="BU41" s="514"/>
      <c r="BV41" s="492"/>
      <c r="BW41" s="514"/>
      <c r="BX41" s="492"/>
      <c r="BY41" s="492"/>
      <c r="BZ41" s="514"/>
      <c r="CA41" s="492"/>
      <c r="CB41" s="514"/>
      <c r="CC41" s="492"/>
      <c r="CD41" s="514"/>
      <c r="CE41" s="492"/>
      <c r="CF41" s="492"/>
      <c r="CG41" s="514"/>
      <c r="CH41" s="492"/>
      <c r="CI41" s="514"/>
      <c r="CJ41" s="492"/>
      <c r="CK41" s="586"/>
      <c r="CL41" s="492"/>
      <c r="CM41" s="492"/>
      <c r="CN41" s="514"/>
      <c r="CO41" s="492"/>
      <c r="CP41" s="514"/>
      <c r="CQ41" s="492"/>
      <c r="CR41" s="514"/>
      <c r="CS41" s="492"/>
      <c r="CT41" s="492"/>
      <c r="CU41" s="586"/>
      <c r="CV41" s="431"/>
      <c r="CW41" s="586"/>
      <c r="CX41" s="431"/>
      <c r="CY41" s="586"/>
      <c r="CZ41" s="431"/>
      <c r="DA41" s="431"/>
      <c r="DB41" s="586"/>
      <c r="DC41" s="431"/>
      <c r="DD41" s="586"/>
      <c r="DE41" s="431"/>
      <c r="DF41" s="586"/>
      <c r="DG41" s="431"/>
      <c r="DH41" s="431"/>
      <c r="DI41" s="431"/>
      <c r="DJ41" s="431"/>
      <c r="DK41" s="431"/>
      <c r="DL41" s="431"/>
      <c r="DM41" s="431"/>
      <c r="DN41" s="431"/>
      <c r="DO41" s="431"/>
      <c r="DP41" s="431"/>
      <c r="DQ41" s="431"/>
      <c r="DR41" s="431"/>
      <c r="DS41" s="431"/>
      <c r="DT41" s="431"/>
      <c r="DU41" s="431"/>
      <c r="DV41" s="431"/>
      <c r="DW41" s="431"/>
      <c r="DX41" s="431"/>
      <c r="DY41" s="431"/>
      <c r="DZ41" s="431"/>
      <c r="EA41" s="431"/>
      <c r="EB41" s="431"/>
      <c r="EC41" s="431"/>
      <c r="ED41" s="431"/>
      <c r="EE41" s="431"/>
      <c r="EF41" s="431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31"/>
      <c r="ET41" s="431"/>
      <c r="EU41" s="431"/>
      <c r="EV41" s="431"/>
      <c r="EW41" s="431"/>
      <c r="EX41" s="431"/>
      <c r="EY41" s="431"/>
      <c r="EZ41" s="431"/>
      <c r="FA41" s="431"/>
      <c r="FB41" s="431"/>
      <c r="FC41" s="431"/>
      <c r="FD41" s="431"/>
      <c r="FE41" s="431"/>
      <c r="FF41" s="431"/>
      <c r="FG41" s="431"/>
      <c r="FH41" s="431"/>
      <c r="FI41" s="431"/>
      <c r="FJ41" s="431"/>
      <c r="FK41" s="431"/>
      <c r="FL41" s="431"/>
      <c r="FM41" s="431"/>
      <c r="FN41" s="431"/>
      <c r="FO41" s="431"/>
      <c r="FP41" s="431"/>
      <c r="FQ41" s="431"/>
      <c r="FR41" s="431"/>
      <c r="FS41" s="587"/>
    </row>
    <row r="42" spans="1:175" s="511" customFormat="1" ht="26.45" customHeight="1">
      <c r="A42" s="510"/>
      <c r="B42" s="508" t="s">
        <v>422</v>
      </c>
      <c r="C42" s="625" t="s">
        <v>316</v>
      </c>
      <c r="D42" s="494">
        <v>12450000</v>
      </c>
      <c r="F42" s="626">
        <v>45951</v>
      </c>
      <c r="G42" s="512"/>
      <c r="H42" s="150"/>
      <c r="I42" s="302"/>
      <c r="J42" s="150"/>
      <c r="K42" s="690"/>
      <c r="L42" s="684">
        <f t="shared" si="1"/>
        <v>12450000</v>
      </c>
      <c r="M42" s="492"/>
      <c r="N42" s="493"/>
      <c r="O42" s="513"/>
      <c r="P42" s="493"/>
      <c r="Q42" s="513"/>
      <c r="R42" s="493"/>
      <c r="S42" s="513"/>
      <c r="T42" s="493"/>
      <c r="U42" s="493"/>
      <c r="V42" s="513"/>
      <c r="W42" s="493"/>
      <c r="X42" s="694">
        <f t="shared" ref="X42:X60" si="2">SUM(H42:W42)</f>
        <v>12450000</v>
      </c>
      <c r="Y42" s="492"/>
      <c r="Z42" s="514"/>
      <c r="AA42" s="492"/>
      <c r="AB42" s="492"/>
      <c r="AC42" s="514"/>
      <c r="AD42" s="492"/>
      <c r="AE42" s="514"/>
      <c r="AF42" s="492"/>
      <c r="AG42" s="514"/>
      <c r="AH42" s="492"/>
      <c r="AI42" s="492"/>
      <c r="AJ42" s="514"/>
      <c r="AK42" s="492"/>
      <c r="AL42" s="514"/>
      <c r="AM42" s="492"/>
      <c r="AN42" s="514"/>
      <c r="AO42" s="492"/>
      <c r="AP42" s="492"/>
      <c r="AQ42" s="514"/>
      <c r="AR42" s="492"/>
      <c r="AS42" s="514"/>
      <c r="AT42" s="492"/>
      <c r="AU42" s="514"/>
      <c r="AV42" s="492"/>
      <c r="AW42" s="492"/>
      <c r="AX42" s="514"/>
      <c r="AY42" s="492"/>
      <c r="AZ42" s="514"/>
      <c r="BA42" s="492"/>
      <c r="BB42" s="514"/>
      <c r="BC42" s="492"/>
      <c r="BD42" s="492"/>
      <c r="BE42" s="514"/>
      <c r="BF42" s="492"/>
      <c r="BG42" s="514"/>
      <c r="BH42" s="492"/>
      <c r="BI42" s="514"/>
      <c r="BJ42" s="492"/>
      <c r="BK42" s="492"/>
      <c r="BL42" s="514"/>
      <c r="BM42" s="492"/>
      <c r="BN42" s="514"/>
      <c r="BO42" s="492"/>
      <c r="BP42" s="514"/>
      <c r="BQ42" s="492"/>
      <c r="BR42" s="492"/>
      <c r="BS42" s="514"/>
      <c r="BT42" s="492"/>
      <c r="BU42" s="514"/>
      <c r="BV42" s="492"/>
      <c r="BW42" s="514"/>
      <c r="BX42" s="492"/>
      <c r="BY42" s="492"/>
      <c r="BZ42" s="514"/>
      <c r="CA42" s="492"/>
      <c r="CB42" s="514"/>
      <c r="CC42" s="492"/>
      <c r="CD42" s="514"/>
      <c r="CE42" s="492"/>
      <c r="CF42" s="492"/>
      <c r="CG42" s="514"/>
      <c r="CH42" s="492"/>
      <c r="CI42" s="514"/>
      <c r="CJ42" s="492"/>
      <c r="CK42" s="586"/>
      <c r="CL42" s="492"/>
      <c r="CM42" s="492"/>
      <c r="CN42" s="514"/>
      <c r="CO42" s="492"/>
      <c r="CP42" s="514"/>
      <c r="CQ42" s="492"/>
      <c r="CR42" s="514"/>
      <c r="CS42" s="492"/>
      <c r="CT42" s="492"/>
      <c r="CU42" s="586"/>
      <c r="CV42" s="431"/>
      <c r="CW42" s="586"/>
      <c r="CX42" s="431"/>
      <c r="CY42" s="586"/>
      <c r="CZ42" s="431"/>
      <c r="DA42" s="431"/>
      <c r="DB42" s="586"/>
      <c r="DC42" s="431"/>
      <c r="DD42" s="586"/>
      <c r="DE42" s="431"/>
      <c r="DF42" s="586"/>
      <c r="DG42" s="431"/>
      <c r="DH42" s="431"/>
      <c r="DI42" s="431"/>
      <c r="DJ42" s="431"/>
      <c r="DK42" s="431"/>
      <c r="DL42" s="431"/>
      <c r="DM42" s="431"/>
      <c r="DN42" s="431"/>
      <c r="DO42" s="431"/>
      <c r="DP42" s="431"/>
      <c r="DQ42" s="431"/>
      <c r="DR42" s="431"/>
      <c r="DS42" s="431"/>
      <c r="DT42" s="431"/>
      <c r="DU42" s="431"/>
      <c r="DV42" s="431"/>
      <c r="DW42" s="431"/>
      <c r="DX42" s="431"/>
      <c r="DY42" s="431"/>
      <c r="DZ42" s="431"/>
      <c r="EA42" s="431"/>
      <c r="EB42" s="431"/>
      <c r="EC42" s="431"/>
      <c r="ED42" s="431"/>
      <c r="EE42" s="431"/>
      <c r="EF42" s="431"/>
      <c r="EG42" s="431"/>
      <c r="EH42" s="431"/>
      <c r="EI42" s="431"/>
      <c r="EJ42" s="431"/>
      <c r="EK42" s="431"/>
      <c r="EL42" s="431"/>
      <c r="EM42" s="431"/>
      <c r="EN42" s="431"/>
      <c r="EO42" s="431"/>
      <c r="EP42" s="431"/>
      <c r="EQ42" s="431"/>
      <c r="ER42" s="431"/>
      <c r="ES42" s="431"/>
      <c r="ET42" s="431"/>
      <c r="EU42" s="431"/>
      <c r="EV42" s="431"/>
      <c r="EW42" s="431"/>
      <c r="EX42" s="431"/>
      <c r="EY42" s="431"/>
      <c r="EZ42" s="431"/>
      <c r="FA42" s="431"/>
      <c r="FB42" s="431"/>
      <c r="FC42" s="431"/>
      <c r="FD42" s="431"/>
      <c r="FE42" s="431"/>
      <c r="FF42" s="431"/>
      <c r="FG42" s="431"/>
      <c r="FH42" s="431"/>
      <c r="FI42" s="431"/>
      <c r="FJ42" s="431"/>
      <c r="FK42" s="431"/>
      <c r="FL42" s="431"/>
      <c r="FM42" s="431"/>
      <c r="FN42" s="431"/>
      <c r="FO42" s="431"/>
      <c r="FP42" s="431"/>
      <c r="FQ42" s="431"/>
      <c r="FR42" s="431"/>
      <c r="FS42" s="587"/>
    </row>
    <row r="43" spans="1:175" s="511" customFormat="1" ht="26.45" customHeight="1">
      <c r="A43" s="510"/>
      <c r="B43" s="508" t="s">
        <v>423</v>
      </c>
      <c r="C43" s="622" t="s">
        <v>424</v>
      </c>
      <c r="D43" s="636">
        <v>44994595</v>
      </c>
      <c r="F43" s="626">
        <v>45951</v>
      </c>
      <c r="G43" s="512"/>
      <c r="H43" s="150"/>
      <c r="I43" s="302"/>
      <c r="J43" s="150"/>
      <c r="K43" s="690"/>
      <c r="L43" s="684">
        <f>D43</f>
        <v>44994595</v>
      </c>
      <c r="M43" s="492"/>
      <c r="N43" s="493"/>
      <c r="O43" s="513"/>
      <c r="P43" s="493"/>
      <c r="Q43" s="513"/>
      <c r="R43" s="493"/>
      <c r="S43" s="513"/>
      <c r="T43" s="493"/>
      <c r="U43" s="493"/>
      <c r="V43" s="513"/>
      <c r="W43" s="493"/>
      <c r="X43" s="694">
        <f t="shared" si="2"/>
        <v>44994595</v>
      </c>
      <c r="Y43" s="492"/>
      <c r="Z43" s="514"/>
      <c r="AA43" s="492"/>
      <c r="AB43" s="492"/>
      <c r="AC43" s="514"/>
      <c r="AD43" s="492"/>
      <c r="AE43" s="514"/>
      <c r="AF43" s="492"/>
      <c r="AG43" s="514"/>
      <c r="AH43" s="492"/>
      <c r="AI43" s="492"/>
      <c r="AJ43" s="514"/>
      <c r="AK43" s="492"/>
      <c r="AL43" s="514"/>
      <c r="AM43" s="492"/>
      <c r="AN43" s="514"/>
      <c r="AO43" s="492"/>
      <c r="AP43" s="492"/>
      <c r="AQ43" s="514"/>
      <c r="AR43" s="492"/>
      <c r="AS43" s="514"/>
      <c r="AT43" s="492"/>
      <c r="AU43" s="514"/>
      <c r="AV43" s="492"/>
      <c r="AW43" s="492"/>
      <c r="AX43" s="514"/>
      <c r="AY43" s="492"/>
      <c r="AZ43" s="514"/>
      <c r="BA43" s="492"/>
      <c r="BB43" s="514"/>
      <c r="BC43" s="492"/>
      <c r="BD43" s="492"/>
      <c r="BE43" s="514"/>
      <c r="BF43" s="492"/>
      <c r="BG43" s="514"/>
      <c r="BH43" s="492"/>
      <c r="BI43" s="514"/>
      <c r="BJ43" s="492"/>
      <c r="BK43" s="492"/>
      <c r="BL43" s="514"/>
      <c r="BM43" s="492"/>
      <c r="BN43" s="514"/>
      <c r="BO43" s="492"/>
      <c r="BP43" s="514"/>
      <c r="BQ43" s="492"/>
      <c r="BR43" s="492"/>
      <c r="BS43" s="514"/>
      <c r="BT43" s="492"/>
      <c r="BU43" s="514"/>
      <c r="BV43" s="492"/>
      <c r="BW43" s="514"/>
      <c r="BX43" s="492"/>
      <c r="BY43" s="492"/>
      <c r="BZ43" s="514"/>
      <c r="CA43" s="492"/>
      <c r="CB43" s="514"/>
      <c r="CC43" s="492"/>
      <c r="CD43" s="514"/>
      <c r="CE43" s="492"/>
      <c r="CF43" s="492"/>
      <c r="CG43" s="514"/>
      <c r="CH43" s="492"/>
      <c r="CI43" s="514"/>
      <c r="CJ43" s="492"/>
      <c r="CK43" s="586"/>
      <c r="CL43" s="492"/>
      <c r="CM43" s="492"/>
      <c r="CN43" s="514"/>
      <c r="CO43" s="492"/>
      <c r="CP43" s="514"/>
      <c r="CQ43" s="492"/>
      <c r="CR43" s="514"/>
      <c r="CS43" s="492"/>
      <c r="CT43" s="492"/>
      <c r="CU43" s="586"/>
      <c r="CV43" s="431"/>
      <c r="CW43" s="586"/>
      <c r="CX43" s="431"/>
      <c r="CY43" s="586"/>
      <c r="CZ43" s="431"/>
      <c r="DA43" s="431"/>
      <c r="DB43" s="586"/>
      <c r="DC43" s="431"/>
      <c r="DD43" s="586"/>
      <c r="DE43" s="431"/>
      <c r="DF43" s="586"/>
      <c r="DG43" s="431"/>
      <c r="DH43" s="431"/>
      <c r="DI43" s="431"/>
      <c r="DJ43" s="431"/>
      <c r="DK43" s="431"/>
      <c r="DL43" s="431"/>
      <c r="DM43" s="431"/>
      <c r="DN43" s="431"/>
      <c r="DO43" s="431"/>
      <c r="DP43" s="431"/>
      <c r="DQ43" s="431"/>
      <c r="DR43" s="431"/>
      <c r="DS43" s="431"/>
      <c r="DT43" s="431"/>
      <c r="DU43" s="431"/>
      <c r="DV43" s="431"/>
      <c r="DW43" s="431"/>
      <c r="DX43" s="431"/>
      <c r="DY43" s="431"/>
      <c r="DZ43" s="431"/>
      <c r="EA43" s="431"/>
      <c r="EB43" s="431"/>
      <c r="EC43" s="431"/>
      <c r="ED43" s="431"/>
      <c r="EE43" s="431"/>
      <c r="EF43" s="431"/>
      <c r="EG43" s="431"/>
      <c r="EH43" s="431"/>
      <c r="EI43" s="431"/>
      <c r="EJ43" s="431"/>
      <c r="EK43" s="431"/>
      <c r="EL43" s="431"/>
      <c r="EM43" s="431"/>
      <c r="EN43" s="431"/>
      <c r="EO43" s="431"/>
      <c r="EP43" s="431"/>
      <c r="EQ43" s="431"/>
      <c r="ER43" s="431"/>
      <c r="ES43" s="431"/>
      <c r="ET43" s="431"/>
      <c r="EU43" s="431"/>
      <c r="EV43" s="431"/>
      <c r="EW43" s="431"/>
      <c r="EX43" s="431"/>
      <c r="EY43" s="431"/>
      <c r="EZ43" s="431"/>
      <c r="FA43" s="431"/>
      <c r="FB43" s="431"/>
      <c r="FC43" s="431"/>
      <c r="FD43" s="431"/>
      <c r="FE43" s="431"/>
      <c r="FF43" s="431"/>
      <c r="FG43" s="431"/>
      <c r="FH43" s="431"/>
      <c r="FI43" s="431"/>
      <c r="FJ43" s="431"/>
      <c r="FK43" s="431"/>
      <c r="FL43" s="431"/>
      <c r="FM43" s="431"/>
      <c r="FN43" s="431"/>
      <c r="FO43" s="431"/>
      <c r="FP43" s="431"/>
      <c r="FQ43" s="431"/>
      <c r="FR43" s="431"/>
      <c r="FS43" s="587"/>
    </row>
    <row r="44" spans="1:175" s="511" customFormat="1" ht="26.45" customHeight="1">
      <c r="A44" s="510"/>
      <c r="B44" s="611" t="s">
        <v>425</v>
      </c>
      <c r="C44" s="615" t="s">
        <v>426</v>
      </c>
      <c r="D44" s="613">
        <v>9150000</v>
      </c>
      <c r="F44" s="626">
        <v>45951</v>
      </c>
      <c r="G44" s="512"/>
      <c r="H44" s="150"/>
      <c r="I44" s="302"/>
      <c r="J44" s="150"/>
      <c r="K44" s="690"/>
      <c r="L44" s="684">
        <f t="shared" si="1"/>
        <v>9150000</v>
      </c>
      <c r="M44" s="492"/>
      <c r="N44" s="493"/>
      <c r="O44" s="513"/>
      <c r="P44" s="493"/>
      <c r="Q44" s="513"/>
      <c r="R44" s="493"/>
      <c r="S44" s="513"/>
      <c r="T44" s="493"/>
      <c r="U44" s="493"/>
      <c r="V44" s="513"/>
      <c r="W44" s="493"/>
      <c r="X44" s="694">
        <f t="shared" si="2"/>
        <v>9150000</v>
      </c>
      <c r="Y44" s="492"/>
      <c r="Z44" s="514"/>
      <c r="AA44" s="492"/>
      <c r="AB44" s="492"/>
      <c r="AC44" s="514"/>
      <c r="AD44" s="492"/>
      <c r="AE44" s="514"/>
      <c r="AF44" s="492"/>
      <c r="AG44" s="514"/>
      <c r="AH44" s="492"/>
      <c r="AI44" s="492"/>
      <c r="AJ44" s="514"/>
      <c r="AK44" s="492"/>
      <c r="AL44" s="514"/>
      <c r="AM44" s="492"/>
      <c r="AN44" s="514"/>
      <c r="AO44" s="492"/>
      <c r="AP44" s="492"/>
      <c r="AQ44" s="514"/>
      <c r="AR44" s="492"/>
      <c r="AS44" s="514"/>
      <c r="AT44" s="492"/>
      <c r="AU44" s="514"/>
      <c r="AV44" s="492"/>
      <c r="AW44" s="492"/>
      <c r="AX44" s="514"/>
      <c r="AY44" s="492"/>
      <c r="AZ44" s="514"/>
      <c r="BA44" s="492"/>
      <c r="BB44" s="514"/>
      <c r="BC44" s="492"/>
      <c r="BD44" s="492"/>
      <c r="BE44" s="514"/>
      <c r="BF44" s="492"/>
      <c r="BG44" s="514"/>
      <c r="BH44" s="492"/>
      <c r="BI44" s="514"/>
      <c r="BJ44" s="492"/>
      <c r="BK44" s="492"/>
      <c r="BL44" s="514"/>
      <c r="BM44" s="492"/>
      <c r="BN44" s="514"/>
      <c r="BO44" s="492"/>
      <c r="BP44" s="514"/>
      <c r="BQ44" s="492"/>
      <c r="BR44" s="492"/>
      <c r="BS44" s="514"/>
      <c r="BT44" s="492"/>
      <c r="BU44" s="514"/>
      <c r="BV44" s="492"/>
      <c r="BW44" s="514"/>
      <c r="BX44" s="492"/>
      <c r="BY44" s="492"/>
      <c r="BZ44" s="514"/>
      <c r="CA44" s="492"/>
      <c r="CB44" s="514"/>
      <c r="CC44" s="492"/>
      <c r="CD44" s="514"/>
      <c r="CE44" s="492"/>
      <c r="CF44" s="492"/>
      <c r="CG44" s="514"/>
      <c r="CH44" s="492"/>
      <c r="CI44" s="514"/>
      <c r="CJ44" s="492"/>
      <c r="CK44" s="586"/>
      <c r="CL44" s="492"/>
      <c r="CM44" s="492"/>
      <c r="CN44" s="514"/>
      <c r="CO44" s="492"/>
      <c r="CP44" s="514"/>
      <c r="CQ44" s="492"/>
      <c r="CR44" s="514"/>
      <c r="CS44" s="492"/>
      <c r="CT44" s="492"/>
      <c r="CU44" s="586"/>
      <c r="CV44" s="431"/>
      <c r="CW44" s="586"/>
      <c r="CX44" s="431"/>
      <c r="CY44" s="586"/>
      <c r="CZ44" s="431"/>
      <c r="DA44" s="431"/>
      <c r="DB44" s="586"/>
      <c r="DC44" s="431"/>
      <c r="DD44" s="586"/>
      <c r="DE44" s="431"/>
      <c r="DF44" s="586"/>
      <c r="DG44" s="431"/>
      <c r="DH44" s="431"/>
      <c r="DI44" s="431"/>
      <c r="DJ44" s="431"/>
      <c r="DK44" s="431"/>
      <c r="DL44" s="431"/>
      <c r="DM44" s="431"/>
      <c r="DN44" s="431"/>
      <c r="DO44" s="431"/>
      <c r="DP44" s="431"/>
      <c r="DQ44" s="431"/>
      <c r="DR44" s="431"/>
      <c r="DS44" s="431"/>
      <c r="DT44" s="431"/>
      <c r="DU44" s="431"/>
      <c r="DV44" s="431"/>
      <c r="DW44" s="431"/>
      <c r="DX44" s="431"/>
      <c r="DY44" s="431"/>
      <c r="DZ44" s="431"/>
      <c r="EA44" s="431"/>
      <c r="EB44" s="431"/>
      <c r="EC44" s="431"/>
      <c r="ED44" s="431"/>
      <c r="EE44" s="431"/>
      <c r="EF44" s="431"/>
      <c r="EG44" s="431"/>
      <c r="EH44" s="431"/>
      <c r="EI44" s="431"/>
      <c r="EJ44" s="431"/>
      <c r="EK44" s="431"/>
      <c r="EL44" s="431"/>
      <c r="EM44" s="431"/>
      <c r="EN44" s="431"/>
      <c r="EO44" s="431"/>
      <c r="EP44" s="431"/>
      <c r="EQ44" s="431"/>
      <c r="ER44" s="431"/>
      <c r="ES44" s="431"/>
      <c r="ET44" s="431"/>
      <c r="EU44" s="431"/>
      <c r="EV44" s="431"/>
      <c r="EW44" s="431"/>
      <c r="EX44" s="431"/>
      <c r="EY44" s="431"/>
      <c r="EZ44" s="431"/>
      <c r="FA44" s="431"/>
      <c r="FB44" s="431"/>
      <c r="FC44" s="431"/>
      <c r="FD44" s="431"/>
      <c r="FE44" s="431"/>
      <c r="FF44" s="431"/>
      <c r="FG44" s="431"/>
      <c r="FH44" s="431"/>
      <c r="FI44" s="431"/>
      <c r="FJ44" s="431"/>
      <c r="FK44" s="431"/>
      <c r="FL44" s="431"/>
      <c r="FM44" s="431"/>
      <c r="FN44" s="431"/>
      <c r="FO44" s="431"/>
      <c r="FP44" s="431"/>
      <c r="FQ44" s="431"/>
      <c r="FR44" s="431"/>
      <c r="FS44" s="587"/>
    </row>
    <row r="45" spans="1:175" s="511" customFormat="1" ht="26.45" customHeight="1">
      <c r="A45" s="510"/>
      <c r="B45" s="611" t="s">
        <v>427</v>
      </c>
      <c r="C45" s="615" t="s">
        <v>428</v>
      </c>
      <c r="D45" s="613">
        <v>1060000</v>
      </c>
      <c r="F45" s="626">
        <v>45951</v>
      </c>
      <c r="G45" s="512"/>
      <c r="H45" s="150"/>
      <c r="I45" s="302"/>
      <c r="J45" s="150"/>
      <c r="K45" s="690"/>
      <c r="L45" s="684">
        <f t="shared" si="1"/>
        <v>1060000</v>
      </c>
      <c r="M45" s="492"/>
      <c r="N45" s="493"/>
      <c r="O45" s="513"/>
      <c r="P45" s="493"/>
      <c r="Q45" s="513"/>
      <c r="R45" s="493"/>
      <c r="S45" s="513"/>
      <c r="T45" s="493"/>
      <c r="U45" s="493"/>
      <c r="V45" s="513"/>
      <c r="W45" s="493"/>
      <c r="X45" s="694">
        <f t="shared" si="2"/>
        <v>1060000</v>
      </c>
      <c r="Y45" s="492"/>
      <c r="Z45" s="514"/>
      <c r="AA45" s="492"/>
      <c r="AB45" s="492"/>
      <c r="AC45" s="514"/>
      <c r="AD45" s="492"/>
      <c r="AE45" s="514"/>
      <c r="AF45" s="492"/>
      <c r="AG45" s="514"/>
      <c r="AH45" s="492"/>
      <c r="AI45" s="492"/>
      <c r="AJ45" s="514"/>
      <c r="AK45" s="492"/>
      <c r="AL45" s="514"/>
      <c r="AM45" s="492"/>
      <c r="AN45" s="514"/>
      <c r="AO45" s="492"/>
      <c r="AP45" s="492"/>
      <c r="AQ45" s="514"/>
      <c r="AR45" s="492"/>
      <c r="AS45" s="514"/>
      <c r="AT45" s="492"/>
      <c r="AU45" s="514"/>
      <c r="AV45" s="492"/>
      <c r="AW45" s="492"/>
      <c r="AX45" s="514"/>
      <c r="AY45" s="492"/>
      <c r="AZ45" s="514"/>
      <c r="BA45" s="492"/>
      <c r="BB45" s="514"/>
      <c r="BC45" s="492"/>
      <c r="BD45" s="492"/>
      <c r="BE45" s="514"/>
      <c r="BF45" s="492"/>
      <c r="BG45" s="514"/>
      <c r="BH45" s="492"/>
      <c r="BI45" s="514"/>
      <c r="BJ45" s="492"/>
      <c r="BK45" s="492"/>
      <c r="BL45" s="514"/>
      <c r="BM45" s="492"/>
      <c r="BN45" s="514"/>
      <c r="BO45" s="492"/>
      <c r="BP45" s="514"/>
      <c r="BQ45" s="492"/>
      <c r="BR45" s="492"/>
      <c r="BS45" s="514"/>
      <c r="BT45" s="492"/>
      <c r="BU45" s="514"/>
      <c r="BV45" s="492"/>
      <c r="BW45" s="514"/>
      <c r="BX45" s="492"/>
      <c r="BY45" s="492"/>
      <c r="BZ45" s="514"/>
      <c r="CA45" s="492"/>
      <c r="CB45" s="514"/>
      <c r="CC45" s="492"/>
      <c r="CD45" s="514"/>
      <c r="CE45" s="492"/>
      <c r="CF45" s="492"/>
      <c r="CG45" s="514"/>
      <c r="CH45" s="492"/>
      <c r="CI45" s="514"/>
      <c r="CJ45" s="492"/>
      <c r="CK45" s="586"/>
      <c r="CL45" s="492"/>
      <c r="CM45" s="492"/>
      <c r="CN45" s="514"/>
      <c r="CO45" s="492"/>
      <c r="CP45" s="514"/>
      <c r="CQ45" s="492"/>
      <c r="CR45" s="514"/>
      <c r="CS45" s="492"/>
      <c r="CT45" s="492"/>
      <c r="CU45" s="586"/>
      <c r="CV45" s="431"/>
      <c r="CW45" s="586"/>
      <c r="CX45" s="431"/>
      <c r="CY45" s="586"/>
      <c r="CZ45" s="431"/>
      <c r="DA45" s="431"/>
      <c r="DB45" s="586"/>
      <c r="DC45" s="431"/>
      <c r="DD45" s="586"/>
      <c r="DE45" s="431"/>
      <c r="DF45" s="586"/>
      <c r="DG45" s="431"/>
      <c r="DH45" s="431"/>
      <c r="DI45" s="431"/>
      <c r="DJ45" s="431"/>
      <c r="DK45" s="431"/>
      <c r="DL45" s="431"/>
      <c r="DM45" s="431"/>
      <c r="DN45" s="431"/>
      <c r="DO45" s="431"/>
      <c r="DP45" s="431"/>
      <c r="DQ45" s="431"/>
      <c r="DR45" s="431"/>
      <c r="DS45" s="431"/>
      <c r="DT45" s="431"/>
      <c r="DU45" s="431"/>
      <c r="DV45" s="431"/>
      <c r="DW45" s="431"/>
      <c r="DX45" s="431"/>
      <c r="DY45" s="431"/>
      <c r="DZ45" s="431"/>
      <c r="EA45" s="431"/>
      <c r="EB45" s="431"/>
      <c r="EC45" s="431"/>
      <c r="ED45" s="431"/>
      <c r="EE45" s="431"/>
      <c r="EF45" s="431"/>
      <c r="EG45" s="431"/>
      <c r="EH45" s="431"/>
      <c r="EI45" s="431"/>
      <c r="EJ45" s="431"/>
      <c r="EK45" s="431"/>
      <c r="EL45" s="431"/>
      <c r="EM45" s="431"/>
      <c r="EN45" s="431"/>
      <c r="EO45" s="431"/>
      <c r="EP45" s="431"/>
      <c r="EQ45" s="431"/>
      <c r="ER45" s="431"/>
      <c r="ES45" s="431"/>
      <c r="ET45" s="431"/>
      <c r="EU45" s="431"/>
      <c r="EV45" s="431"/>
      <c r="EW45" s="431"/>
      <c r="EX45" s="431"/>
      <c r="EY45" s="431"/>
      <c r="EZ45" s="431"/>
      <c r="FA45" s="431"/>
      <c r="FB45" s="431"/>
      <c r="FC45" s="431"/>
      <c r="FD45" s="431"/>
      <c r="FE45" s="431"/>
      <c r="FF45" s="431"/>
      <c r="FG45" s="431"/>
      <c r="FH45" s="431"/>
      <c r="FI45" s="431"/>
      <c r="FJ45" s="431"/>
      <c r="FK45" s="431"/>
      <c r="FL45" s="431"/>
      <c r="FM45" s="431"/>
      <c r="FN45" s="431"/>
      <c r="FO45" s="431"/>
      <c r="FP45" s="431"/>
      <c r="FQ45" s="431"/>
      <c r="FR45" s="431"/>
      <c r="FS45" s="587"/>
    </row>
    <row r="46" spans="1:175" s="511" customFormat="1" ht="26.45" customHeight="1">
      <c r="A46" s="510"/>
      <c r="B46" s="611" t="s">
        <v>288</v>
      </c>
      <c r="C46" s="615" t="s">
        <v>429</v>
      </c>
      <c r="D46" s="613">
        <v>76465000</v>
      </c>
      <c r="F46" s="626">
        <v>45951</v>
      </c>
      <c r="G46" s="512"/>
      <c r="H46" s="150"/>
      <c r="I46" s="302"/>
      <c r="J46" s="150"/>
      <c r="K46" s="690"/>
      <c r="L46" s="684">
        <f t="shared" si="1"/>
        <v>76465000</v>
      </c>
      <c r="M46" s="492"/>
      <c r="N46" s="493"/>
      <c r="O46" s="513"/>
      <c r="P46" s="493"/>
      <c r="Q46" s="513"/>
      <c r="R46" s="493"/>
      <c r="S46" s="513"/>
      <c r="T46" s="493"/>
      <c r="U46" s="493"/>
      <c r="V46" s="513"/>
      <c r="W46" s="493"/>
      <c r="X46" s="694">
        <f t="shared" si="2"/>
        <v>76465000</v>
      </c>
      <c r="Y46" s="492"/>
      <c r="Z46" s="514"/>
      <c r="AA46" s="492"/>
      <c r="AB46" s="492"/>
      <c r="AC46" s="514"/>
      <c r="AD46" s="492"/>
      <c r="AE46" s="514"/>
      <c r="AF46" s="492"/>
      <c r="AG46" s="514"/>
      <c r="AH46" s="492"/>
      <c r="AI46" s="492"/>
      <c r="AJ46" s="514"/>
      <c r="AK46" s="492"/>
      <c r="AL46" s="514"/>
      <c r="AM46" s="492"/>
      <c r="AN46" s="514"/>
      <c r="AO46" s="492"/>
      <c r="AP46" s="492"/>
      <c r="AQ46" s="514"/>
      <c r="AR46" s="492"/>
      <c r="AS46" s="514"/>
      <c r="AT46" s="492"/>
      <c r="AU46" s="514"/>
      <c r="AV46" s="492"/>
      <c r="AW46" s="492"/>
      <c r="AX46" s="514"/>
      <c r="AY46" s="492"/>
      <c r="AZ46" s="514"/>
      <c r="BA46" s="492"/>
      <c r="BB46" s="514"/>
      <c r="BC46" s="492"/>
      <c r="BD46" s="492"/>
      <c r="BE46" s="514"/>
      <c r="BF46" s="492"/>
      <c r="BG46" s="514"/>
      <c r="BH46" s="492"/>
      <c r="BI46" s="514"/>
      <c r="BJ46" s="492"/>
      <c r="BK46" s="492"/>
      <c r="BL46" s="514"/>
      <c r="BM46" s="492"/>
      <c r="BN46" s="514"/>
      <c r="BO46" s="492"/>
      <c r="BP46" s="514"/>
      <c r="BQ46" s="492"/>
      <c r="BR46" s="492"/>
      <c r="BS46" s="514"/>
      <c r="BT46" s="492"/>
      <c r="BU46" s="514"/>
      <c r="BV46" s="492"/>
      <c r="BW46" s="514"/>
      <c r="BX46" s="492"/>
      <c r="BY46" s="492"/>
      <c r="BZ46" s="514"/>
      <c r="CA46" s="492"/>
      <c r="CB46" s="514"/>
      <c r="CC46" s="492"/>
      <c r="CD46" s="514"/>
      <c r="CE46" s="492"/>
      <c r="CF46" s="492"/>
      <c r="CG46" s="514"/>
      <c r="CH46" s="492"/>
      <c r="CI46" s="514"/>
      <c r="CJ46" s="492"/>
      <c r="CK46" s="586"/>
      <c r="CL46" s="492"/>
      <c r="CM46" s="492"/>
      <c r="CN46" s="514"/>
      <c r="CO46" s="492"/>
      <c r="CP46" s="514"/>
      <c r="CQ46" s="492"/>
      <c r="CR46" s="514"/>
      <c r="CS46" s="492"/>
      <c r="CT46" s="492"/>
      <c r="CU46" s="586"/>
      <c r="CV46" s="431"/>
      <c r="CW46" s="586"/>
      <c r="CX46" s="431"/>
      <c r="CY46" s="586"/>
      <c r="CZ46" s="431"/>
      <c r="DA46" s="431"/>
      <c r="DB46" s="586"/>
      <c r="DC46" s="431"/>
      <c r="DD46" s="586"/>
      <c r="DE46" s="431"/>
      <c r="DF46" s="586"/>
      <c r="DG46" s="431"/>
      <c r="DH46" s="431"/>
      <c r="DI46" s="431"/>
      <c r="DJ46" s="431"/>
      <c r="DK46" s="431"/>
      <c r="DL46" s="431"/>
      <c r="DM46" s="431"/>
      <c r="DN46" s="431"/>
      <c r="DO46" s="431"/>
      <c r="DP46" s="431"/>
      <c r="DQ46" s="431"/>
      <c r="DR46" s="431"/>
      <c r="DS46" s="431"/>
      <c r="DT46" s="431"/>
      <c r="DU46" s="431"/>
      <c r="DV46" s="431"/>
      <c r="DW46" s="431"/>
      <c r="DX46" s="431"/>
      <c r="DY46" s="431"/>
      <c r="DZ46" s="431"/>
      <c r="EA46" s="431"/>
      <c r="EB46" s="431"/>
      <c r="EC46" s="431"/>
      <c r="ED46" s="431"/>
      <c r="EE46" s="431"/>
      <c r="EF46" s="431"/>
      <c r="EG46" s="431"/>
      <c r="EH46" s="431"/>
      <c r="EI46" s="431"/>
      <c r="EJ46" s="431"/>
      <c r="EK46" s="431"/>
      <c r="EL46" s="431"/>
      <c r="EM46" s="431"/>
      <c r="EN46" s="431"/>
      <c r="EO46" s="431"/>
      <c r="EP46" s="431"/>
      <c r="EQ46" s="431"/>
      <c r="ER46" s="431"/>
      <c r="ES46" s="431"/>
      <c r="ET46" s="431"/>
      <c r="EU46" s="431"/>
      <c r="EV46" s="431"/>
      <c r="EW46" s="431"/>
      <c r="EX46" s="431"/>
      <c r="EY46" s="431"/>
      <c r="EZ46" s="431"/>
      <c r="FA46" s="431"/>
      <c r="FB46" s="431"/>
      <c r="FC46" s="431"/>
      <c r="FD46" s="431"/>
      <c r="FE46" s="431"/>
      <c r="FF46" s="431"/>
      <c r="FG46" s="431"/>
      <c r="FH46" s="431"/>
      <c r="FI46" s="431"/>
      <c r="FJ46" s="431"/>
      <c r="FK46" s="431"/>
      <c r="FL46" s="431"/>
      <c r="FM46" s="431"/>
      <c r="FN46" s="431"/>
      <c r="FO46" s="431"/>
      <c r="FP46" s="431"/>
      <c r="FQ46" s="431"/>
      <c r="FR46" s="431"/>
      <c r="FS46" s="587"/>
    </row>
    <row r="47" spans="1:175" s="511" customFormat="1" ht="26.45" customHeight="1">
      <c r="A47" s="510"/>
      <c r="B47" s="640" t="s">
        <v>288</v>
      </c>
      <c r="C47" s="615" t="s">
        <v>304</v>
      </c>
      <c r="D47" s="613">
        <v>5450000</v>
      </c>
      <c r="F47" s="626">
        <v>45951</v>
      </c>
      <c r="G47" s="512"/>
      <c r="H47" s="150"/>
      <c r="I47" s="302"/>
      <c r="J47" s="150"/>
      <c r="K47" s="690"/>
      <c r="L47" s="684">
        <f t="shared" si="1"/>
        <v>5450000</v>
      </c>
      <c r="M47" s="492"/>
      <c r="N47" s="493"/>
      <c r="O47" s="513"/>
      <c r="P47" s="493"/>
      <c r="Q47" s="513"/>
      <c r="R47" s="493"/>
      <c r="S47" s="513"/>
      <c r="T47" s="493"/>
      <c r="U47" s="493"/>
      <c r="V47" s="513"/>
      <c r="W47" s="493"/>
      <c r="X47" s="694">
        <f t="shared" si="2"/>
        <v>5450000</v>
      </c>
      <c r="Y47" s="492"/>
      <c r="Z47" s="514"/>
      <c r="AA47" s="492"/>
      <c r="AB47" s="492"/>
      <c r="AC47" s="514"/>
      <c r="AD47" s="492"/>
      <c r="AE47" s="514"/>
      <c r="AF47" s="492"/>
      <c r="AG47" s="514"/>
      <c r="AH47" s="492"/>
      <c r="AI47" s="492"/>
      <c r="AJ47" s="514"/>
      <c r="AK47" s="492"/>
      <c r="AL47" s="514"/>
      <c r="AM47" s="492"/>
      <c r="AN47" s="514"/>
      <c r="AO47" s="492"/>
      <c r="AP47" s="492"/>
      <c r="AQ47" s="514"/>
      <c r="AR47" s="492"/>
      <c r="AS47" s="514"/>
      <c r="AT47" s="492"/>
      <c r="AU47" s="514"/>
      <c r="AV47" s="492"/>
      <c r="AW47" s="492"/>
      <c r="AX47" s="514"/>
      <c r="AY47" s="492"/>
      <c r="AZ47" s="514"/>
      <c r="BA47" s="492"/>
      <c r="BB47" s="514"/>
      <c r="BC47" s="492"/>
      <c r="BD47" s="492"/>
      <c r="BE47" s="514"/>
      <c r="BF47" s="492"/>
      <c r="BG47" s="514"/>
      <c r="BH47" s="492"/>
      <c r="BI47" s="514"/>
      <c r="BJ47" s="492"/>
      <c r="BK47" s="492"/>
      <c r="BL47" s="514"/>
      <c r="BM47" s="492"/>
      <c r="BN47" s="514"/>
      <c r="BO47" s="492"/>
      <c r="BP47" s="514"/>
      <c r="BQ47" s="492"/>
      <c r="BR47" s="492"/>
      <c r="BS47" s="514"/>
      <c r="BT47" s="492"/>
      <c r="BU47" s="514"/>
      <c r="BV47" s="492"/>
      <c r="BW47" s="514"/>
      <c r="BX47" s="492"/>
      <c r="BY47" s="492"/>
      <c r="BZ47" s="514"/>
      <c r="CA47" s="492"/>
      <c r="CB47" s="514"/>
      <c r="CC47" s="492"/>
      <c r="CD47" s="514"/>
      <c r="CE47" s="492"/>
      <c r="CF47" s="492"/>
      <c r="CG47" s="514"/>
      <c r="CH47" s="492"/>
      <c r="CI47" s="514"/>
      <c r="CJ47" s="492"/>
      <c r="CK47" s="586"/>
      <c r="CL47" s="492"/>
      <c r="CM47" s="492"/>
      <c r="CN47" s="514"/>
      <c r="CO47" s="492"/>
      <c r="CP47" s="514"/>
      <c r="CQ47" s="492"/>
      <c r="CR47" s="514"/>
      <c r="CS47" s="492"/>
      <c r="CT47" s="492"/>
      <c r="CU47" s="586"/>
      <c r="CV47" s="431"/>
      <c r="CW47" s="586"/>
      <c r="CX47" s="431"/>
      <c r="CY47" s="586"/>
      <c r="CZ47" s="431"/>
      <c r="DA47" s="431"/>
      <c r="DB47" s="586"/>
      <c r="DC47" s="431"/>
      <c r="DD47" s="586"/>
      <c r="DE47" s="431"/>
      <c r="DF47" s="586"/>
      <c r="DG47" s="431"/>
      <c r="DH47" s="431"/>
      <c r="DI47" s="431"/>
      <c r="DJ47" s="431"/>
      <c r="DK47" s="431"/>
      <c r="DL47" s="431"/>
      <c r="DM47" s="431"/>
      <c r="DN47" s="431"/>
      <c r="DO47" s="431"/>
      <c r="DP47" s="431"/>
      <c r="DQ47" s="431"/>
      <c r="DR47" s="431"/>
      <c r="DS47" s="431"/>
      <c r="DT47" s="431"/>
      <c r="DU47" s="431"/>
      <c r="DV47" s="431"/>
      <c r="DW47" s="431"/>
      <c r="DX47" s="431"/>
      <c r="DY47" s="431"/>
      <c r="DZ47" s="431"/>
      <c r="EA47" s="431"/>
      <c r="EB47" s="431"/>
      <c r="EC47" s="431"/>
      <c r="ED47" s="431"/>
      <c r="EE47" s="431"/>
      <c r="EF47" s="431"/>
      <c r="EG47" s="431"/>
      <c r="EH47" s="431"/>
      <c r="EI47" s="431"/>
      <c r="EJ47" s="431"/>
      <c r="EK47" s="431"/>
      <c r="EL47" s="431"/>
      <c r="EM47" s="431"/>
      <c r="EN47" s="431"/>
      <c r="EO47" s="431"/>
      <c r="EP47" s="431"/>
      <c r="EQ47" s="431"/>
      <c r="ER47" s="431"/>
      <c r="ES47" s="431"/>
      <c r="ET47" s="431"/>
      <c r="EU47" s="431"/>
      <c r="EV47" s="431"/>
      <c r="EW47" s="431"/>
      <c r="EX47" s="431"/>
      <c r="EY47" s="431"/>
      <c r="EZ47" s="431"/>
      <c r="FA47" s="431"/>
      <c r="FB47" s="431"/>
      <c r="FC47" s="431"/>
      <c r="FD47" s="431"/>
      <c r="FE47" s="431"/>
      <c r="FF47" s="431"/>
      <c r="FG47" s="431"/>
      <c r="FH47" s="431"/>
      <c r="FI47" s="431"/>
      <c r="FJ47" s="431"/>
      <c r="FK47" s="431"/>
      <c r="FL47" s="431"/>
      <c r="FM47" s="431"/>
      <c r="FN47" s="431"/>
      <c r="FO47" s="431"/>
      <c r="FP47" s="431"/>
      <c r="FQ47" s="431"/>
      <c r="FR47" s="431"/>
      <c r="FS47" s="587"/>
    </row>
    <row r="48" spans="1:175" s="511" customFormat="1" ht="26.45" customHeight="1">
      <c r="A48" s="510"/>
      <c r="B48" s="640" t="s">
        <v>288</v>
      </c>
      <c r="C48" s="615" t="s">
        <v>298</v>
      </c>
      <c r="D48" s="613">
        <v>45684000</v>
      </c>
      <c r="F48" s="626">
        <v>45951</v>
      </c>
      <c r="G48" s="512"/>
      <c r="H48" s="150"/>
      <c r="I48" s="302"/>
      <c r="J48" s="150"/>
      <c r="K48" s="690"/>
      <c r="L48" s="684">
        <f t="shared" si="1"/>
        <v>45684000</v>
      </c>
      <c r="M48" s="492"/>
      <c r="N48" s="493"/>
      <c r="O48" s="513"/>
      <c r="P48" s="493"/>
      <c r="Q48" s="513"/>
      <c r="R48" s="493"/>
      <c r="S48" s="513"/>
      <c r="T48" s="493"/>
      <c r="U48" s="493"/>
      <c r="V48" s="513"/>
      <c r="W48" s="493"/>
      <c r="X48" s="694">
        <f t="shared" si="2"/>
        <v>45684000</v>
      </c>
      <c r="Y48" s="492"/>
      <c r="Z48" s="514"/>
      <c r="AA48" s="492"/>
      <c r="AB48" s="492"/>
      <c r="AC48" s="514"/>
      <c r="AD48" s="492"/>
      <c r="AE48" s="514"/>
      <c r="AF48" s="492"/>
      <c r="AG48" s="514"/>
      <c r="AH48" s="492"/>
      <c r="AI48" s="492"/>
      <c r="AJ48" s="514"/>
      <c r="AK48" s="492"/>
      <c r="AL48" s="514"/>
      <c r="AM48" s="492"/>
      <c r="AN48" s="514"/>
      <c r="AO48" s="492"/>
      <c r="AP48" s="492"/>
      <c r="AQ48" s="514"/>
      <c r="AR48" s="492"/>
      <c r="AS48" s="514"/>
      <c r="AT48" s="492"/>
      <c r="AU48" s="514"/>
      <c r="AV48" s="492"/>
      <c r="AW48" s="492"/>
      <c r="AX48" s="514"/>
      <c r="AY48" s="492"/>
      <c r="AZ48" s="514"/>
      <c r="BA48" s="492"/>
      <c r="BB48" s="514"/>
      <c r="BC48" s="492"/>
      <c r="BD48" s="492"/>
      <c r="BE48" s="514"/>
      <c r="BF48" s="492"/>
      <c r="BG48" s="514"/>
      <c r="BH48" s="492"/>
      <c r="BI48" s="514"/>
      <c r="BJ48" s="492"/>
      <c r="BK48" s="492"/>
      <c r="BL48" s="514"/>
      <c r="BM48" s="492"/>
      <c r="BN48" s="514"/>
      <c r="BO48" s="492"/>
      <c r="BP48" s="514"/>
      <c r="BQ48" s="492"/>
      <c r="BR48" s="492"/>
      <c r="BS48" s="514"/>
      <c r="BT48" s="492"/>
      <c r="BU48" s="514"/>
      <c r="BV48" s="492"/>
      <c r="BW48" s="514"/>
      <c r="BX48" s="492"/>
      <c r="BY48" s="492"/>
      <c r="BZ48" s="514"/>
      <c r="CA48" s="492"/>
      <c r="CB48" s="514"/>
      <c r="CC48" s="492"/>
      <c r="CD48" s="514"/>
      <c r="CE48" s="492"/>
      <c r="CF48" s="492"/>
      <c r="CG48" s="514"/>
      <c r="CH48" s="492"/>
      <c r="CI48" s="514"/>
      <c r="CJ48" s="492"/>
      <c r="CK48" s="586"/>
      <c r="CL48" s="492"/>
      <c r="CM48" s="492"/>
      <c r="CN48" s="514"/>
      <c r="CO48" s="492"/>
      <c r="CP48" s="514"/>
      <c r="CQ48" s="492"/>
      <c r="CR48" s="514"/>
      <c r="CS48" s="492"/>
      <c r="CT48" s="492"/>
      <c r="CU48" s="586"/>
      <c r="CV48" s="431"/>
      <c r="CW48" s="586"/>
      <c r="CX48" s="431"/>
      <c r="CY48" s="586"/>
      <c r="CZ48" s="431"/>
      <c r="DA48" s="431"/>
      <c r="DB48" s="586"/>
      <c r="DC48" s="431"/>
      <c r="DD48" s="586"/>
      <c r="DE48" s="431"/>
      <c r="DF48" s="586"/>
      <c r="DG48" s="431"/>
      <c r="DH48" s="431"/>
      <c r="DI48" s="431"/>
      <c r="DJ48" s="431"/>
      <c r="DK48" s="431"/>
      <c r="DL48" s="431"/>
      <c r="DM48" s="431"/>
      <c r="DN48" s="431"/>
      <c r="DO48" s="431"/>
      <c r="DP48" s="431"/>
      <c r="DQ48" s="431"/>
      <c r="DR48" s="431"/>
      <c r="DS48" s="431"/>
      <c r="DT48" s="431"/>
      <c r="DU48" s="431"/>
      <c r="DV48" s="431"/>
      <c r="DW48" s="431"/>
      <c r="DX48" s="431"/>
      <c r="DY48" s="431"/>
      <c r="DZ48" s="431"/>
      <c r="EA48" s="431"/>
      <c r="EB48" s="431"/>
      <c r="EC48" s="431"/>
      <c r="ED48" s="431"/>
      <c r="EE48" s="431"/>
      <c r="EF48" s="431"/>
      <c r="EG48" s="431"/>
      <c r="EH48" s="431"/>
      <c r="EI48" s="431"/>
      <c r="EJ48" s="431"/>
      <c r="EK48" s="431"/>
      <c r="EL48" s="431"/>
      <c r="EM48" s="431"/>
      <c r="EN48" s="431"/>
      <c r="EO48" s="431"/>
      <c r="EP48" s="431"/>
      <c r="EQ48" s="431"/>
      <c r="ER48" s="431"/>
      <c r="ES48" s="431"/>
      <c r="ET48" s="431"/>
      <c r="EU48" s="431"/>
      <c r="EV48" s="431"/>
      <c r="EW48" s="431"/>
      <c r="EX48" s="431"/>
      <c r="EY48" s="431"/>
      <c r="EZ48" s="431"/>
      <c r="FA48" s="431"/>
      <c r="FB48" s="431"/>
      <c r="FC48" s="431"/>
      <c r="FD48" s="431"/>
      <c r="FE48" s="431"/>
      <c r="FF48" s="431"/>
      <c r="FG48" s="431"/>
      <c r="FH48" s="431"/>
      <c r="FI48" s="431"/>
      <c r="FJ48" s="431"/>
      <c r="FK48" s="431"/>
      <c r="FL48" s="431"/>
      <c r="FM48" s="431"/>
      <c r="FN48" s="431"/>
      <c r="FO48" s="431"/>
      <c r="FP48" s="431"/>
      <c r="FQ48" s="431"/>
      <c r="FR48" s="431"/>
      <c r="FS48" s="587"/>
    </row>
    <row r="49" spans="1:175" s="511" customFormat="1" ht="26.45" customHeight="1">
      <c r="A49" s="510"/>
      <c r="B49" s="640" t="s">
        <v>288</v>
      </c>
      <c r="C49" s="615" t="s">
        <v>430</v>
      </c>
      <c r="D49" s="613">
        <v>8650000</v>
      </c>
      <c r="F49" s="626">
        <v>45951</v>
      </c>
      <c r="G49" s="512"/>
      <c r="H49" s="150"/>
      <c r="I49" s="302"/>
      <c r="J49" s="150"/>
      <c r="K49" s="691">
        <f>D49</f>
        <v>8650000</v>
      </c>
      <c r="L49" s="684"/>
      <c r="M49" s="492"/>
      <c r="N49" s="493"/>
      <c r="O49" s="513"/>
      <c r="P49" s="493"/>
      <c r="Q49" s="513"/>
      <c r="R49" s="493"/>
      <c r="S49" s="513"/>
      <c r="T49" s="493"/>
      <c r="U49" s="493"/>
      <c r="V49" s="513"/>
      <c r="W49" s="493"/>
      <c r="X49" s="694">
        <f t="shared" si="2"/>
        <v>8650000</v>
      </c>
      <c r="Y49" s="492"/>
      <c r="Z49" s="514"/>
      <c r="AA49" s="492"/>
      <c r="AB49" s="492"/>
      <c r="AC49" s="514"/>
      <c r="AD49" s="492"/>
      <c r="AE49" s="514"/>
      <c r="AF49" s="492"/>
      <c r="AG49" s="514"/>
      <c r="AH49" s="492"/>
      <c r="AI49" s="492"/>
      <c r="AJ49" s="514"/>
      <c r="AK49" s="492"/>
      <c r="AL49" s="514"/>
      <c r="AM49" s="492"/>
      <c r="AN49" s="514"/>
      <c r="AO49" s="492"/>
      <c r="AP49" s="492"/>
      <c r="AQ49" s="514"/>
      <c r="AR49" s="492"/>
      <c r="AS49" s="514"/>
      <c r="AT49" s="492"/>
      <c r="AU49" s="514"/>
      <c r="AV49" s="492"/>
      <c r="AW49" s="492"/>
      <c r="AX49" s="514"/>
      <c r="AY49" s="492"/>
      <c r="AZ49" s="514"/>
      <c r="BA49" s="492"/>
      <c r="BB49" s="514"/>
      <c r="BC49" s="492"/>
      <c r="BD49" s="492"/>
      <c r="BE49" s="514"/>
      <c r="BF49" s="492"/>
      <c r="BG49" s="514"/>
      <c r="BH49" s="492"/>
      <c r="BI49" s="514"/>
      <c r="BJ49" s="492"/>
      <c r="BK49" s="492"/>
      <c r="BL49" s="514"/>
      <c r="BM49" s="492"/>
      <c r="BN49" s="514"/>
      <c r="BO49" s="492"/>
      <c r="BP49" s="514"/>
      <c r="BQ49" s="492"/>
      <c r="BR49" s="492"/>
      <c r="BS49" s="514"/>
      <c r="BT49" s="492"/>
      <c r="BU49" s="514"/>
      <c r="BV49" s="492"/>
      <c r="BW49" s="514"/>
      <c r="BX49" s="492"/>
      <c r="BY49" s="492"/>
      <c r="BZ49" s="514"/>
      <c r="CA49" s="492"/>
      <c r="CB49" s="514"/>
      <c r="CC49" s="492"/>
      <c r="CD49" s="514"/>
      <c r="CE49" s="492"/>
      <c r="CF49" s="492"/>
      <c r="CG49" s="514"/>
      <c r="CH49" s="492"/>
      <c r="CI49" s="514"/>
      <c r="CJ49" s="492"/>
      <c r="CK49" s="586"/>
      <c r="CL49" s="492"/>
      <c r="CM49" s="492"/>
      <c r="CN49" s="514"/>
      <c r="CO49" s="492"/>
      <c r="CP49" s="514"/>
      <c r="CQ49" s="492"/>
      <c r="CR49" s="514"/>
      <c r="CS49" s="492"/>
      <c r="CT49" s="492"/>
      <c r="CU49" s="586"/>
      <c r="CV49" s="431"/>
      <c r="CW49" s="586"/>
      <c r="CX49" s="431"/>
      <c r="CY49" s="586"/>
      <c r="CZ49" s="431"/>
      <c r="DA49" s="431"/>
      <c r="DB49" s="586"/>
      <c r="DC49" s="431"/>
      <c r="DD49" s="586"/>
      <c r="DE49" s="431"/>
      <c r="DF49" s="586"/>
      <c r="DG49" s="431"/>
      <c r="DH49" s="431"/>
      <c r="DI49" s="431"/>
      <c r="DJ49" s="431"/>
      <c r="DK49" s="431"/>
      <c r="DL49" s="431"/>
      <c r="DM49" s="431"/>
      <c r="DN49" s="431"/>
      <c r="DO49" s="431"/>
      <c r="DP49" s="431"/>
      <c r="DQ49" s="431"/>
      <c r="DR49" s="431"/>
      <c r="DS49" s="431"/>
      <c r="DT49" s="431"/>
      <c r="DU49" s="431"/>
      <c r="DV49" s="431"/>
      <c r="DW49" s="431"/>
      <c r="DX49" s="431"/>
      <c r="DY49" s="431"/>
      <c r="DZ49" s="431"/>
      <c r="EA49" s="431"/>
      <c r="EB49" s="431"/>
      <c r="EC49" s="431"/>
      <c r="ED49" s="431"/>
      <c r="EE49" s="431"/>
      <c r="EF49" s="431"/>
      <c r="EG49" s="431"/>
      <c r="EH49" s="431"/>
      <c r="EI49" s="431"/>
      <c r="EJ49" s="431"/>
      <c r="EK49" s="431"/>
      <c r="EL49" s="431"/>
      <c r="EM49" s="431"/>
      <c r="EN49" s="431"/>
      <c r="EO49" s="431"/>
      <c r="EP49" s="431"/>
      <c r="EQ49" s="431"/>
      <c r="ER49" s="431"/>
      <c r="ES49" s="431"/>
      <c r="ET49" s="431"/>
      <c r="EU49" s="431"/>
      <c r="EV49" s="431"/>
      <c r="EW49" s="431"/>
      <c r="EX49" s="431"/>
      <c r="EY49" s="431"/>
      <c r="EZ49" s="431"/>
      <c r="FA49" s="431"/>
      <c r="FB49" s="431"/>
      <c r="FC49" s="431"/>
      <c r="FD49" s="431"/>
      <c r="FE49" s="431"/>
      <c r="FF49" s="431"/>
      <c r="FG49" s="431"/>
      <c r="FH49" s="431"/>
      <c r="FI49" s="431"/>
      <c r="FJ49" s="431"/>
      <c r="FK49" s="431"/>
      <c r="FL49" s="431"/>
      <c r="FM49" s="431"/>
      <c r="FN49" s="431"/>
      <c r="FO49" s="431"/>
      <c r="FP49" s="431"/>
      <c r="FQ49" s="431"/>
      <c r="FR49" s="431"/>
      <c r="FS49" s="587"/>
    </row>
    <row r="50" spans="1:175" s="511" customFormat="1" ht="26.45" customHeight="1">
      <c r="A50" s="510"/>
      <c r="B50" s="640" t="s">
        <v>288</v>
      </c>
      <c r="C50" s="615" t="s">
        <v>431</v>
      </c>
      <c r="D50" s="613">
        <v>25000000</v>
      </c>
      <c r="F50" s="626">
        <v>45951</v>
      </c>
      <c r="G50" s="512"/>
      <c r="H50" s="150"/>
      <c r="I50" s="302"/>
      <c r="J50" s="150"/>
      <c r="K50" s="690"/>
      <c r="L50" s="684">
        <f t="shared" si="1"/>
        <v>25000000</v>
      </c>
      <c r="M50" s="492"/>
      <c r="N50" s="493"/>
      <c r="O50" s="513"/>
      <c r="P50" s="493"/>
      <c r="Q50" s="513"/>
      <c r="R50" s="493"/>
      <c r="S50" s="513"/>
      <c r="T50" s="493"/>
      <c r="U50" s="493"/>
      <c r="V50" s="513"/>
      <c r="W50" s="493"/>
      <c r="X50" s="694">
        <f t="shared" si="2"/>
        <v>25000000</v>
      </c>
      <c r="Y50" s="492"/>
      <c r="Z50" s="514"/>
      <c r="AA50" s="492"/>
      <c r="AB50" s="492"/>
      <c r="AC50" s="514"/>
      <c r="AD50" s="492"/>
      <c r="AE50" s="514"/>
      <c r="AF50" s="492"/>
      <c r="AG50" s="514"/>
      <c r="AH50" s="492"/>
      <c r="AI50" s="492"/>
      <c r="AJ50" s="514"/>
      <c r="AK50" s="492"/>
      <c r="AL50" s="514"/>
      <c r="AM50" s="492"/>
      <c r="AN50" s="514"/>
      <c r="AO50" s="492"/>
      <c r="AP50" s="492"/>
      <c r="AQ50" s="514"/>
      <c r="AR50" s="492"/>
      <c r="AS50" s="514"/>
      <c r="AT50" s="492"/>
      <c r="AU50" s="514"/>
      <c r="AV50" s="492"/>
      <c r="AW50" s="492"/>
      <c r="AX50" s="514"/>
      <c r="AY50" s="492"/>
      <c r="AZ50" s="514"/>
      <c r="BA50" s="492"/>
      <c r="BB50" s="514"/>
      <c r="BC50" s="492"/>
      <c r="BD50" s="492"/>
      <c r="BE50" s="514"/>
      <c r="BF50" s="492"/>
      <c r="BG50" s="514"/>
      <c r="BH50" s="492"/>
      <c r="BI50" s="514"/>
      <c r="BJ50" s="492"/>
      <c r="BK50" s="492"/>
      <c r="BL50" s="514"/>
      <c r="BM50" s="492"/>
      <c r="BN50" s="514"/>
      <c r="BO50" s="492"/>
      <c r="BP50" s="514"/>
      <c r="BQ50" s="492"/>
      <c r="BR50" s="492"/>
      <c r="BS50" s="514"/>
      <c r="BT50" s="492"/>
      <c r="BU50" s="514"/>
      <c r="BV50" s="492"/>
      <c r="BW50" s="514"/>
      <c r="BX50" s="492"/>
      <c r="BY50" s="492"/>
      <c r="BZ50" s="514"/>
      <c r="CA50" s="492"/>
      <c r="CB50" s="514"/>
      <c r="CC50" s="492"/>
      <c r="CD50" s="514"/>
      <c r="CE50" s="492"/>
      <c r="CF50" s="492"/>
      <c r="CG50" s="514"/>
      <c r="CH50" s="492"/>
      <c r="CI50" s="514"/>
      <c r="CJ50" s="492"/>
      <c r="CK50" s="586"/>
      <c r="CL50" s="492"/>
      <c r="CM50" s="492"/>
      <c r="CN50" s="514"/>
      <c r="CO50" s="492"/>
      <c r="CP50" s="514"/>
      <c r="CQ50" s="492"/>
      <c r="CR50" s="514"/>
      <c r="CS50" s="492"/>
      <c r="CT50" s="492"/>
      <c r="CU50" s="586"/>
      <c r="CV50" s="431"/>
      <c r="CW50" s="586"/>
      <c r="CX50" s="431"/>
      <c r="CY50" s="586"/>
      <c r="CZ50" s="431"/>
      <c r="DA50" s="431"/>
      <c r="DB50" s="586"/>
      <c r="DC50" s="431"/>
      <c r="DD50" s="586"/>
      <c r="DE50" s="431"/>
      <c r="DF50" s="586"/>
      <c r="DG50" s="431"/>
      <c r="DH50" s="431"/>
      <c r="DI50" s="431"/>
      <c r="DJ50" s="431"/>
      <c r="DK50" s="431"/>
      <c r="DL50" s="431"/>
      <c r="DM50" s="431"/>
      <c r="DN50" s="431"/>
      <c r="DO50" s="431"/>
      <c r="DP50" s="431"/>
      <c r="DQ50" s="431"/>
      <c r="DR50" s="431"/>
      <c r="DS50" s="431"/>
      <c r="DT50" s="431"/>
      <c r="DU50" s="431"/>
      <c r="DV50" s="431"/>
      <c r="DW50" s="431"/>
      <c r="DX50" s="431"/>
      <c r="DY50" s="431"/>
      <c r="DZ50" s="431"/>
      <c r="EA50" s="431"/>
      <c r="EB50" s="431"/>
      <c r="EC50" s="431"/>
      <c r="ED50" s="431"/>
      <c r="EE50" s="431"/>
      <c r="EF50" s="431"/>
      <c r="EG50" s="431"/>
      <c r="EH50" s="431"/>
      <c r="EI50" s="431"/>
      <c r="EJ50" s="431"/>
      <c r="EK50" s="431"/>
      <c r="EL50" s="431"/>
      <c r="EM50" s="431"/>
      <c r="EN50" s="431"/>
      <c r="EO50" s="431"/>
      <c r="EP50" s="431"/>
      <c r="EQ50" s="431"/>
      <c r="ER50" s="431"/>
      <c r="ES50" s="431"/>
      <c r="ET50" s="431"/>
      <c r="EU50" s="431"/>
      <c r="EV50" s="431"/>
      <c r="EW50" s="431"/>
      <c r="EX50" s="431"/>
      <c r="EY50" s="431"/>
      <c r="EZ50" s="431"/>
      <c r="FA50" s="431"/>
      <c r="FB50" s="431"/>
      <c r="FC50" s="431"/>
      <c r="FD50" s="431"/>
      <c r="FE50" s="431"/>
      <c r="FF50" s="431"/>
      <c r="FG50" s="431"/>
      <c r="FH50" s="431"/>
      <c r="FI50" s="431"/>
      <c r="FJ50" s="431"/>
      <c r="FK50" s="431"/>
      <c r="FL50" s="431"/>
      <c r="FM50" s="431"/>
      <c r="FN50" s="431"/>
      <c r="FO50" s="431"/>
      <c r="FP50" s="431"/>
      <c r="FQ50" s="431"/>
      <c r="FR50" s="431"/>
      <c r="FS50" s="587"/>
    </row>
    <row r="51" spans="1:175" s="511" customFormat="1" ht="26.45" customHeight="1">
      <c r="A51" s="510"/>
      <c r="B51" s="640" t="s">
        <v>288</v>
      </c>
      <c r="C51" s="615" t="s">
        <v>432</v>
      </c>
      <c r="D51" s="613">
        <v>13000000</v>
      </c>
      <c r="F51" s="626">
        <v>45951</v>
      </c>
      <c r="G51" s="512"/>
      <c r="H51" s="150"/>
      <c r="I51" s="302"/>
      <c r="J51" s="150"/>
      <c r="K51" s="690"/>
      <c r="L51" s="684">
        <f t="shared" si="1"/>
        <v>13000000</v>
      </c>
      <c r="M51" s="492"/>
      <c r="N51" s="493"/>
      <c r="O51" s="513"/>
      <c r="P51" s="493"/>
      <c r="Q51" s="513"/>
      <c r="R51" s="493"/>
      <c r="S51" s="513"/>
      <c r="T51" s="493"/>
      <c r="U51" s="493"/>
      <c r="V51" s="513"/>
      <c r="W51" s="493"/>
      <c r="X51" s="694">
        <f t="shared" si="2"/>
        <v>13000000</v>
      </c>
      <c r="Y51" s="492"/>
      <c r="Z51" s="514"/>
      <c r="AA51" s="492"/>
      <c r="AB51" s="492"/>
      <c r="AC51" s="514"/>
      <c r="AD51" s="492"/>
      <c r="AE51" s="514"/>
      <c r="AF51" s="492"/>
      <c r="AG51" s="514"/>
      <c r="AH51" s="492"/>
      <c r="AI51" s="492"/>
      <c r="AJ51" s="514"/>
      <c r="AK51" s="492"/>
      <c r="AL51" s="514"/>
      <c r="AM51" s="492"/>
      <c r="AN51" s="514"/>
      <c r="AO51" s="492"/>
      <c r="AP51" s="492"/>
      <c r="AQ51" s="514"/>
      <c r="AR51" s="492"/>
      <c r="AS51" s="514"/>
      <c r="AT51" s="492"/>
      <c r="AU51" s="514"/>
      <c r="AV51" s="492"/>
      <c r="AW51" s="492"/>
      <c r="AX51" s="514"/>
      <c r="AY51" s="492"/>
      <c r="AZ51" s="514"/>
      <c r="BA51" s="492"/>
      <c r="BB51" s="514"/>
      <c r="BC51" s="492"/>
      <c r="BD51" s="492"/>
      <c r="BE51" s="514"/>
      <c r="BF51" s="492"/>
      <c r="BG51" s="514"/>
      <c r="BH51" s="492"/>
      <c r="BI51" s="514"/>
      <c r="BJ51" s="492"/>
      <c r="BK51" s="492"/>
      <c r="BL51" s="514"/>
      <c r="BM51" s="492"/>
      <c r="BN51" s="514"/>
      <c r="BO51" s="492"/>
      <c r="BP51" s="514"/>
      <c r="BQ51" s="492"/>
      <c r="BR51" s="492"/>
      <c r="BS51" s="514"/>
      <c r="BT51" s="492"/>
      <c r="BU51" s="514"/>
      <c r="BV51" s="492"/>
      <c r="BW51" s="514"/>
      <c r="BX51" s="492"/>
      <c r="BY51" s="492"/>
      <c r="BZ51" s="514"/>
      <c r="CA51" s="492"/>
      <c r="CB51" s="514"/>
      <c r="CC51" s="492"/>
      <c r="CD51" s="514"/>
      <c r="CE51" s="492"/>
      <c r="CF51" s="492"/>
      <c r="CG51" s="514"/>
      <c r="CH51" s="492"/>
      <c r="CI51" s="514"/>
      <c r="CJ51" s="492"/>
      <c r="CK51" s="586"/>
      <c r="CL51" s="492"/>
      <c r="CM51" s="492"/>
      <c r="CN51" s="514"/>
      <c r="CO51" s="492"/>
      <c r="CP51" s="514"/>
      <c r="CQ51" s="492"/>
      <c r="CR51" s="514"/>
      <c r="CS51" s="492"/>
      <c r="CT51" s="492"/>
      <c r="CU51" s="586"/>
      <c r="CV51" s="431"/>
      <c r="CW51" s="586"/>
      <c r="CX51" s="431"/>
      <c r="CY51" s="586"/>
      <c r="CZ51" s="431"/>
      <c r="DA51" s="431"/>
      <c r="DB51" s="586"/>
      <c r="DC51" s="431"/>
      <c r="DD51" s="586"/>
      <c r="DE51" s="431"/>
      <c r="DF51" s="586"/>
      <c r="DG51" s="431"/>
      <c r="DH51" s="431"/>
      <c r="DI51" s="431"/>
      <c r="DJ51" s="431"/>
      <c r="DK51" s="431"/>
      <c r="DL51" s="431"/>
      <c r="DM51" s="431"/>
      <c r="DN51" s="431"/>
      <c r="DO51" s="431"/>
      <c r="DP51" s="431"/>
      <c r="DQ51" s="431"/>
      <c r="DR51" s="431"/>
      <c r="DS51" s="431"/>
      <c r="DT51" s="431"/>
      <c r="DU51" s="431"/>
      <c r="DV51" s="431"/>
      <c r="DW51" s="431"/>
      <c r="DX51" s="431"/>
      <c r="DY51" s="431"/>
      <c r="DZ51" s="431"/>
      <c r="EA51" s="431"/>
      <c r="EB51" s="431"/>
      <c r="EC51" s="431"/>
      <c r="ED51" s="431"/>
      <c r="EE51" s="431"/>
      <c r="EF51" s="431"/>
      <c r="EG51" s="431"/>
      <c r="EH51" s="431"/>
      <c r="EI51" s="431"/>
      <c r="EJ51" s="431"/>
      <c r="EK51" s="431"/>
      <c r="EL51" s="431"/>
      <c r="EM51" s="431"/>
      <c r="EN51" s="431"/>
      <c r="EO51" s="431"/>
      <c r="EP51" s="431"/>
      <c r="EQ51" s="431"/>
      <c r="ER51" s="431"/>
      <c r="ES51" s="431"/>
      <c r="ET51" s="431"/>
      <c r="EU51" s="431"/>
      <c r="EV51" s="431"/>
      <c r="EW51" s="431"/>
      <c r="EX51" s="431"/>
      <c r="EY51" s="431"/>
      <c r="EZ51" s="431"/>
      <c r="FA51" s="431"/>
      <c r="FB51" s="431"/>
      <c r="FC51" s="431"/>
      <c r="FD51" s="431"/>
      <c r="FE51" s="431"/>
      <c r="FF51" s="431"/>
      <c r="FG51" s="431"/>
      <c r="FH51" s="431"/>
      <c r="FI51" s="431"/>
      <c r="FJ51" s="431"/>
      <c r="FK51" s="431"/>
      <c r="FL51" s="431"/>
      <c r="FM51" s="431"/>
      <c r="FN51" s="431"/>
      <c r="FO51" s="431"/>
      <c r="FP51" s="431"/>
      <c r="FQ51" s="431"/>
      <c r="FR51" s="431"/>
      <c r="FS51" s="587"/>
    </row>
    <row r="52" spans="1:175" s="511" customFormat="1" ht="26.45" customHeight="1">
      <c r="A52" s="510"/>
      <c r="B52" s="640" t="s">
        <v>288</v>
      </c>
      <c r="C52" s="615" t="s">
        <v>433</v>
      </c>
      <c r="D52" s="613">
        <v>9000000</v>
      </c>
      <c r="F52" s="626">
        <v>45951</v>
      </c>
      <c r="G52" s="512"/>
      <c r="H52" s="150"/>
      <c r="I52" s="302"/>
      <c r="J52" s="150"/>
      <c r="K52" s="690"/>
      <c r="L52" s="684">
        <f t="shared" si="1"/>
        <v>9000000</v>
      </c>
      <c r="M52" s="492"/>
      <c r="N52" s="493"/>
      <c r="O52" s="513"/>
      <c r="P52" s="493"/>
      <c r="Q52" s="513"/>
      <c r="R52" s="493"/>
      <c r="S52" s="513"/>
      <c r="T52" s="493"/>
      <c r="U52" s="493"/>
      <c r="V52" s="513"/>
      <c r="W52" s="493"/>
      <c r="X52" s="694">
        <f t="shared" si="2"/>
        <v>9000000</v>
      </c>
      <c r="Y52" s="492"/>
      <c r="Z52" s="514"/>
      <c r="AA52" s="492"/>
      <c r="AB52" s="492"/>
      <c r="AC52" s="514"/>
      <c r="AD52" s="492"/>
      <c r="AE52" s="514"/>
      <c r="AF52" s="492"/>
      <c r="AG52" s="514"/>
      <c r="AH52" s="492"/>
      <c r="AI52" s="492"/>
      <c r="AJ52" s="514"/>
      <c r="AK52" s="492"/>
      <c r="AL52" s="514"/>
      <c r="AM52" s="492"/>
      <c r="AN52" s="514"/>
      <c r="AO52" s="492"/>
      <c r="AP52" s="492"/>
      <c r="AQ52" s="514"/>
      <c r="AR52" s="492"/>
      <c r="AS52" s="514"/>
      <c r="AT52" s="492"/>
      <c r="AU52" s="514"/>
      <c r="AV52" s="492"/>
      <c r="AW52" s="492"/>
      <c r="AX52" s="514"/>
      <c r="AY52" s="492"/>
      <c r="AZ52" s="514"/>
      <c r="BA52" s="492"/>
      <c r="BB52" s="514"/>
      <c r="BC52" s="492"/>
      <c r="BD52" s="492"/>
      <c r="BE52" s="514"/>
      <c r="BF52" s="492"/>
      <c r="BG52" s="514"/>
      <c r="BH52" s="492"/>
      <c r="BI52" s="514"/>
      <c r="BJ52" s="492"/>
      <c r="BK52" s="492"/>
      <c r="BL52" s="514"/>
      <c r="BM52" s="492"/>
      <c r="BN52" s="514"/>
      <c r="BO52" s="492"/>
      <c r="BP52" s="514"/>
      <c r="BQ52" s="492"/>
      <c r="BR52" s="492"/>
      <c r="BS52" s="514"/>
      <c r="BT52" s="492"/>
      <c r="BU52" s="514"/>
      <c r="BV52" s="492"/>
      <c r="BW52" s="514"/>
      <c r="BX52" s="492"/>
      <c r="BY52" s="492"/>
      <c r="BZ52" s="514"/>
      <c r="CA52" s="492"/>
      <c r="CB52" s="514"/>
      <c r="CC52" s="492"/>
      <c r="CD52" s="514"/>
      <c r="CE52" s="492"/>
      <c r="CF52" s="492"/>
      <c r="CG52" s="514"/>
      <c r="CH52" s="492"/>
      <c r="CI52" s="514"/>
      <c r="CJ52" s="492"/>
      <c r="CK52" s="586"/>
      <c r="CL52" s="492"/>
      <c r="CM52" s="492"/>
      <c r="CN52" s="514"/>
      <c r="CO52" s="492"/>
      <c r="CP52" s="514"/>
      <c r="CQ52" s="492"/>
      <c r="CR52" s="514"/>
      <c r="CS52" s="492"/>
      <c r="CT52" s="492"/>
      <c r="CU52" s="586"/>
      <c r="CV52" s="431"/>
      <c r="CW52" s="586"/>
      <c r="CX52" s="431"/>
      <c r="CY52" s="586"/>
      <c r="CZ52" s="431"/>
      <c r="DA52" s="431"/>
      <c r="DB52" s="586"/>
      <c r="DC52" s="431"/>
      <c r="DD52" s="586"/>
      <c r="DE52" s="431"/>
      <c r="DF52" s="586"/>
      <c r="DG52" s="431"/>
      <c r="DH52" s="431"/>
      <c r="DI52" s="431"/>
      <c r="DJ52" s="431"/>
      <c r="DK52" s="431"/>
      <c r="DL52" s="431"/>
      <c r="DM52" s="431"/>
      <c r="DN52" s="431"/>
      <c r="DO52" s="431"/>
      <c r="DP52" s="431"/>
      <c r="DQ52" s="431"/>
      <c r="DR52" s="431"/>
      <c r="DS52" s="431"/>
      <c r="DT52" s="431"/>
      <c r="DU52" s="431"/>
      <c r="DV52" s="431"/>
      <c r="DW52" s="431"/>
      <c r="DX52" s="431"/>
      <c r="DY52" s="431"/>
      <c r="DZ52" s="431"/>
      <c r="EA52" s="431"/>
      <c r="EB52" s="431"/>
      <c r="EC52" s="431"/>
      <c r="ED52" s="431"/>
      <c r="EE52" s="431"/>
      <c r="EF52" s="431"/>
      <c r="EG52" s="431"/>
      <c r="EH52" s="431"/>
      <c r="EI52" s="431"/>
      <c r="EJ52" s="431"/>
      <c r="EK52" s="431"/>
      <c r="EL52" s="431"/>
      <c r="EM52" s="431"/>
      <c r="EN52" s="431"/>
      <c r="EO52" s="431"/>
      <c r="EP52" s="431"/>
      <c r="EQ52" s="431"/>
      <c r="ER52" s="431"/>
      <c r="ES52" s="431"/>
      <c r="ET52" s="431"/>
      <c r="EU52" s="431"/>
      <c r="EV52" s="431"/>
      <c r="EW52" s="431"/>
      <c r="EX52" s="431"/>
      <c r="EY52" s="431"/>
      <c r="EZ52" s="431"/>
      <c r="FA52" s="431"/>
      <c r="FB52" s="431"/>
      <c r="FC52" s="431"/>
      <c r="FD52" s="431"/>
      <c r="FE52" s="431"/>
      <c r="FF52" s="431"/>
      <c r="FG52" s="431"/>
      <c r="FH52" s="431"/>
      <c r="FI52" s="431"/>
      <c r="FJ52" s="431"/>
      <c r="FK52" s="431"/>
      <c r="FL52" s="431"/>
      <c r="FM52" s="431"/>
      <c r="FN52" s="431"/>
      <c r="FO52" s="431"/>
      <c r="FP52" s="431"/>
      <c r="FQ52" s="431"/>
      <c r="FR52" s="431"/>
      <c r="FS52" s="587"/>
    </row>
    <row r="53" spans="1:175" s="511" customFormat="1" ht="26.45" customHeight="1">
      <c r="A53" s="510"/>
      <c r="B53" s="640" t="s">
        <v>288</v>
      </c>
      <c r="C53" s="615" t="s">
        <v>434</v>
      </c>
      <c r="D53" s="613">
        <v>15000000</v>
      </c>
      <c r="F53" s="626">
        <v>45951</v>
      </c>
      <c r="G53" s="512"/>
      <c r="H53" s="150"/>
      <c r="I53" s="302"/>
      <c r="J53" s="150"/>
      <c r="K53" s="690"/>
      <c r="L53" s="684">
        <f t="shared" si="1"/>
        <v>15000000</v>
      </c>
      <c r="M53" s="492"/>
      <c r="N53" s="493"/>
      <c r="O53" s="513"/>
      <c r="P53" s="493"/>
      <c r="Q53" s="513"/>
      <c r="R53" s="493"/>
      <c r="S53" s="513"/>
      <c r="T53" s="493"/>
      <c r="U53" s="493"/>
      <c r="V53" s="513"/>
      <c r="W53" s="493"/>
      <c r="X53" s="694">
        <f t="shared" si="2"/>
        <v>15000000</v>
      </c>
      <c r="Y53" s="492"/>
      <c r="Z53" s="514"/>
      <c r="AA53" s="492"/>
      <c r="AB53" s="492"/>
      <c r="AC53" s="514"/>
      <c r="AD53" s="492"/>
      <c r="AE53" s="514"/>
      <c r="AF53" s="492"/>
      <c r="AG53" s="514"/>
      <c r="AH53" s="492"/>
      <c r="AI53" s="492"/>
      <c r="AJ53" s="514"/>
      <c r="AK53" s="492"/>
      <c r="AL53" s="514"/>
      <c r="AM53" s="492"/>
      <c r="AN53" s="514"/>
      <c r="AO53" s="492"/>
      <c r="AP53" s="492"/>
      <c r="AQ53" s="514"/>
      <c r="AR53" s="492"/>
      <c r="AS53" s="514"/>
      <c r="AT53" s="492"/>
      <c r="AU53" s="514"/>
      <c r="AV53" s="492"/>
      <c r="AW53" s="492"/>
      <c r="AX53" s="514"/>
      <c r="AY53" s="492"/>
      <c r="AZ53" s="514"/>
      <c r="BA53" s="492"/>
      <c r="BB53" s="514"/>
      <c r="BC53" s="492"/>
      <c r="BD53" s="492"/>
      <c r="BE53" s="514"/>
      <c r="BF53" s="492"/>
      <c r="BG53" s="514"/>
      <c r="BH53" s="492"/>
      <c r="BI53" s="514"/>
      <c r="BJ53" s="492"/>
      <c r="BK53" s="492"/>
      <c r="BL53" s="514"/>
      <c r="BM53" s="492"/>
      <c r="BN53" s="514"/>
      <c r="BO53" s="492"/>
      <c r="BP53" s="514"/>
      <c r="BQ53" s="492"/>
      <c r="BR53" s="492"/>
      <c r="BS53" s="514"/>
      <c r="BT53" s="492"/>
      <c r="BU53" s="514"/>
      <c r="BV53" s="492"/>
      <c r="BW53" s="514"/>
      <c r="BX53" s="492"/>
      <c r="BY53" s="492"/>
      <c r="BZ53" s="514"/>
      <c r="CA53" s="492"/>
      <c r="CB53" s="514"/>
      <c r="CC53" s="492"/>
      <c r="CD53" s="514"/>
      <c r="CE53" s="492"/>
      <c r="CF53" s="492"/>
      <c r="CG53" s="514"/>
      <c r="CH53" s="492"/>
      <c r="CI53" s="514"/>
      <c r="CJ53" s="492"/>
      <c r="CK53" s="586"/>
      <c r="CL53" s="492"/>
      <c r="CM53" s="492"/>
      <c r="CN53" s="514"/>
      <c r="CO53" s="492"/>
      <c r="CP53" s="514"/>
      <c r="CQ53" s="492"/>
      <c r="CR53" s="514"/>
      <c r="CS53" s="492"/>
      <c r="CT53" s="492"/>
      <c r="CU53" s="586"/>
      <c r="CV53" s="431"/>
      <c r="CW53" s="586"/>
      <c r="CX53" s="431"/>
      <c r="CY53" s="586"/>
      <c r="CZ53" s="431"/>
      <c r="DA53" s="431"/>
      <c r="DB53" s="586"/>
      <c r="DC53" s="431"/>
      <c r="DD53" s="586"/>
      <c r="DE53" s="431"/>
      <c r="DF53" s="586"/>
      <c r="DG53" s="431"/>
      <c r="DH53" s="431"/>
      <c r="DI53" s="431"/>
      <c r="DJ53" s="431"/>
      <c r="DK53" s="431"/>
      <c r="DL53" s="431"/>
      <c r="DM53" s="431"/>
      <c r="DN53" s="431"/>
      <c r="DO53" s="431"/>
      <c r="DP53" s="431"/>
      <c r="DQ53" s="431"/>
      <c r="DR53" s="431"/>
      <c r="DS53" s="431"/>
      <c r="DT53" s="431"/>
      <c r="DU53" s="431"/>
      <c r="DV53" s="431"/>
      <c r="DW53" s="431"/>
      <c r="DX53" s="431"/>
      <c r="DY53" s="431"/>
      <c r="DZ53" s="431"/>
      <c r="EA53" s="431"/>
      <c r="EB53" s="431"/>
      <c r="EC53" s="431"/>
      <c r="ED53" s="431"/>
      <c r="EE53" s="431"/>
      <c r="EF53" s="431"/>
      <c r="EG53" s="431"/>
      <c r="EH53" s="431"/>
      <c r="EI53" s="431"/>
      <c r="EJ53" s="431"/>
      <c r="EK53" s="431"/>
      <c r="EL53" s="431"/>
      <c r="EM53" s="431"/>
      <c r="EN53" s="431"/>
      <c r="EO53" s="431"/>
      <c r="EP53" s="431"/>
      <c r="EQ53" s="431"/>
      <c r="ER53" s="431"/>
      <c r="ES53" s="431"/>
      <c r="ET53" s="431"/>
      <c r="EU53" s="431"/>
      <c r="EV53" s="431"/>
      <c r="EW53" s="431"/>
      <c r="EX53" s="431"/>
      <c r="EY53" s="431"/>
      <c r="EZ53" s="431"/>
      <c r="FA53" s="431"/>
      <c r="FB53" s="431"/>
      <c r="FC53" s="431"/>
      <c r="FD53" s="431"/>
      <c r="FE53" s="431"/>
      <c r="FF53" s="431"/>
      <c r="FG53" s="431"/>
      <c r="FH53" s="431"/>
      <c r="FI53" s="431"/>
      <c r="FJ53" s="431"/>
      <c r="FK53" s="431"/>
      <c r="FL53" s="431"/>
      <c r="FM53" s="431"/>
      <c r="FN53" s="431"/>
      <c r="FO53" s="431"/>
      <c r="FP53" s="431"/>
      <c r="FQ53" s="431"/>
      <c r="FR53" s="431"/>
      <c r="FS53" s="587"/>
    </row>
    <row r="54" spans="1:175" s="511" customFormat="1" ht="26.45" customHeight="1">
      <c r="A54" s="510"/>
      <c r="B54" s="640" t="s">
        <v>288</v>
      </c>
      <c r="C54" s="615" t="s">
        <v>435</v>
      </c>
      <c r="D54" s="613">
        <v>11100000</v>
      </c>
      <c r="F54" s="626">
        <v>45951</v>
      </c>
      <c r="G54" s="512"/>
      <c r="H54" s="150"/>
      <c r="I54" s="302"/>
      <c r="J54" s="150"/>
      <c r="K54" s="690"/>
      <c r="L54" s="684">
        <f t="shared" si="1"/>
        <v>11100000</v>
      </c>
      <c r="M54" s="492"/>
      <c r="N54" s="493"/>
      <c r="O54" s="513"/>
      <c r="P54" s="493"/>
      <c r="Q54" s="513"/>
      <c r="R54" s="493"/>
      <c r="S54" s="513"/>
      <c r="T54" s="493"/>
      <c r="U54" s="493"/>
      <c r="V54" s="513"/>
      <c r="W54" s="493"/>
      <c r="X54" s="694">
        <f t="shared" si="2"/>
        <v>11100000</v>
      </c>
      <c r="Y54" s="492"/>
      <c r="Z54" s="514"/>
      <c r="AA54" s="492"/>
      <c r="AB54" s="492"/>
      <c r="AC54" s="514"/>
      <c r="AD54" s="492"/>
      <c r="AE54" s="514"/>
      <c r="AF54" s="492"/>
      <c r="AG54" s="514"/>
      <c r="AH54" s="492"/>
      <c r="AI54" s="492"/>
      <c r="AJ54" s="514"/>
      <c r="AK54" s="492"/>
      <c r="AL54" s="514"/>
      <c r="AM54" s="492"/>
      <c r="AN54" s="514"/>
      <c r="AO54" s="492"/>
      <c r="AP54" s="492"/>
      <c r="AQ54" s="514"/>
      <c r="AR54" s="492"/>
      <c r="AS54" s="514"/>
      <c r="AT54" s="492"/>
      <c r="AU54" s="514"/>
      <c r="AV54" s="492"/>
      <c r="AW54" s="492"/>
      <c r="AX54" s="514"/>
      <c r="AY54" s="492"/>
      <c r="AZ54" s="514"/>
      <c r="BA54" s="492"/>
      <c r="BB54" s="514"/>
      <c r="BC54" s="492"/>
      <c r="BD54" s="492"/>
      <c r="BE54" s="514"/>
      <c r="BF54" s="492"/>
      <c r="BG54" s="514"/>
      <c r="BH54" s="492"/>
      <c r="BI54" s="514"/>
      <c r="BJ54" s="492"/>
      <c r="BK54" s="492"/>
      <c r="BL54" s="514"/>
      <c r="BM54" s="492"/>
      <c r="BN54" s="514"/>
      <c r="BO54" s="492"/>
      <c r="BP54" s="514"/>
      <c r="BQ54" s="492"/>
      <c r="BR54" s="492"/>
      <c r="BS54" s="514"/>
      <c r="BT54" s="492"/>
      <c r="BU54" s="514"/>
      <c r="BV54" s="492"/>
      <c r="BW54" s="514"/>
      <c r="BX54" s="492"/>
      <c r="BY54" s="492"/>
      <c r="BZ54" s="514"/>
      <c r="CA54" s="492"/>
      <c r="CB54" s="514"/>
      <c r="CC54" s="492"/>
      <c r="CD54" s="514"/>
      <c r="CE54" s="492"/>
      <c r="CF54" s="492"/>
      <c r="CG54" s="514"/>
      <c r="CH54" s="492"/>
      <c r="CI54" s="514"/>
      <c r="CJ54" s="492"/>
      <c r="CK54" s="586"/>
      <c r="CL54" s="492"/>
      <c r="CM54" s="492"/>
      <c r="CN54" s="514"/>
      <c r="CO54" s="492"/>
      <c r="CP54" s="514"/>
      <c r="CQ54" s="492"/>
      <c r="CR54" s="514"/>
      <c r="CS54" s="492"/>
      <c r="CT54" s="492"/>
      <c r="CU54" s="586"/>
      <c r="CV54" s="431"/>
      <c r="CW54" s="586"/>
      <c r="CX54" s="431"/>
      <c r="CY54" s="586"/>
      <c r="CZ54" s="431"/>
      <c r="DA54" s="431"/>
      <c r="DB54" s="586"/>
      <c r="DC54" s="431"/>
      <c r="DD54" s="586"/>
      <c r="DE54" s="431"/>
      <c r="DF54" s="586"/>
      <c r="DG54" s="431"/>
      <c r="DH54" s="431"/>
      <c r="DI54" s="431"/>
      <c r="DJ54" s="431"/>
      <c r="DK54" s="431"/>
      <c r="DL54" s="431"/>
      <c r="DM54" s="431"/>
      <c r="DN54" s="431"/>
      <c r="DO54" s="431"/>
      <c r="DP54" s="431"/>
      <c r="DQ54" s="431"/>
      <c r="DR54" s="431"/>
      <c r="DS54" s="431"/>
      <c r="DT54" s="431"/>
      <c r="DU54" s="431"/>
      <c r="DV54" s="431"/>
      <c r="DW54" s="431"/>
      <c r="DX54" s="431"/>
      <c r="DY54" s="431"/>
      <c r="DZ54" s="431"/>
      <c r="EA54" s="431"/>
      <c r="EB54" s="431"/>
      <c r="EC54" s="431"/>
      <c r="ED54" s="431"/>
      <c r="EE54" s="431"/>
      <c r="EF54" s="431"/>
      <c r="EG54" s="431"/>
      <c r="EH54" s="431"/>
      <c r="EI54" s="431"/>
      <c r="EJ54" s="431"/>
      <c r="EK54" s="431"/>
      <c r="EL54" s="431"/>
      <c r="EM54" s="431"/>
      <c r="EN54" s="431"/>
      <c r="EO54" s="431"/>
      <c r="EP54" s="431"/>
      <c r="EQ54" s="431"/>
      <c r="ER54" s="431"/>
      <c r="ES54" s="431"/>
      <c r="ET54" s="431"/>
      <c r="EU54" s="431"/>
      <c r="EV54" s="431"/>
      <c r="EW54" s="431"/>
      <c r="EX54" s="431"/>
      <c r="EY54" s="431"/>
      <c r="EZ54" s="431"/>
      <c r="FA54" s="431"/>
      <c r="FB54" s="431"/>
      <c r="FC54" s="431"/>
      <c r="FD54" s="431"/>
      <c r="FE54" s="431"/>
      <c r="FF54" s="431"/>
      <c r="FG54" s="431"/>
      <c r="FH54" s="431"/>
      <c r="FI54" s="431"/>
      <c r="FJ54" s="431"/>
      <c r="FK54" s="431"/>
      <c r="FL54" s="431"/>
      <c r="FM54" s="431"/>
      <c r="FN54" s="431"/>
      <c r="FO54" s="431"/>
      <c r="FP54" s="431"/>
      <c r="FQ54" s="431"/>
      <c r="FR54" s="431"/>
      <c r="FS54" s="587"/>
    </row>
    <row r="55" spans="1:175" s="511" customFormat="1" ht="26.45" customHeight="1">
      <c r="A55" s="510"/>
      <c r="B55" s="640" t="s">
        <v>288</v>
      </c>
      <c r="C55" s="615" t="s">
        <v>436</v>
      </c>
      <c r="D55" s="613">
        <v>37000000</v>
      </c>
      <c r="F55" s="626">
        <v>45951</v>
      </c>
      <c r="G55" s="512"/>
      <c r="H55" s="150"/>
      <c r="I55" s="302"/>
      <c r="J55" s="150"/>
      <c r="K55" s="690"/>
      <c r="L55" s="684">
        <f>D55</f>
        <v>37000000</v>
      </c>
      <c r="M55" s="492"/>
      <c r="N55" s="493"/>
      <c r="O55" s="513"/>
      <c r="P55" s="493"/>
      <c r="Q55" s="513"/>
      <c r="R55" s="493"/>
      <c r="S55" s="513"/>
      <c r="T55" s="493"/>
      <c r="U55" s="493"/>
      <c r="V55" s="513"/>
      <c r="W55" s="493"/>
      <c r="X55" s="694">
        <f t="shared" si="2"/>
        <v>37000000</v>
      </c>
      <c r="Y55" s="492"/>
      <c r="Z55" s="514"/>
      <c r="AA55" s="492"/>
      <c r="AB55" s="492"/>
      <c r="AC55" s="514"/>
      <c r="AD55" s="492"/>
      <c r="AE55" s="514"/>
      <c r="AF55" s="492"/>
      <c r="AG55" s="514"/>
      <c r="AH55" s="492"/>
      <c r="AI55" s="492"/>
      <c r="AJ55" s="514"/>
      <c r="AK55" s="492"/>
      <c r="AL55" s="514"/>
      <c r="AM55" s="492"/>
      <c r="AN55" s="514"/>
      <c r="AO55" s="492"/>
      <c r="AP55" s="492"/>
      <c r="AQ55" s="514"/>
      <c r="AR55" s="492"/>
      <c r="AS55" s="514"/>
      <c r="AT55" s="492"/>
      <c r="AU55" s="514"/>
      <c r="AV55" s="492"/>
      <c r="AW55" s="492"/>
      <c r="AX55" s="514"/>
      <c r="AY55" s="492"/>
      <c r="AZ55" s="514"/>
      <c r="BA55" s="492"/>
      <c r="BB55" s="514"/>
      <c r="BC55" s="492"/>
      <c r="BD55" s="492"/>
      <c r="BE55" s="514"/>
      <c r="BF55" s="492"/>
      <c r="BG55" s="514"/>
      <c r="BH55" s="492"/>
      <c r="BI55" s="514"/>
      <c r="BJ55" s="492"/>
      <c r="BK55" s="492"/>
      <c r="BL55" s="514"/>
      <c r="BM55" s="492"/>
      <c r="BN55" s="514"/>
      <c r="BO55" s="492"/>
      <c r="BP55" s="514"/>
      <c r="BQ55" s="492"/>
      <c r="BR55" s="492"/>
      <c r="BS55" s="514"/>
      <c r="BT55" s="492"/>
      <c r="BU55" s="514"/>
      <c r="BV55" s="492"/>
      <c r="BW55" s="514"/>
      <c r="BX55" s="492"/>
      <c r="BY55" s="492"/>
      <c r="BZ55" s="514"/>
      <c r="CA55" s="492"/>
      <c r="CB55" s="514"/>
      <c r="CC55" s="492"/>
      <c r="CD55" s="514"/>
      <c r="CE55" s="492"/>
      <c r="CF55" s="492"/>
      <c r="CG55" s="514"/>
      <c r="CH55" s="492"/>
      <c r="CI55" s="514"/>
      <c r="CJ55" s="492"/>
      <c r="CK55" s="586"/>
      <c r="CL55" s="492"/>
      <c r="CM55" s="492"/>
      <c r="CN55" s="514"/>
      <c r="CO55" s="492"/>
      <c r="CP55" s="514"/>
      <c r="CQ55" s="492"/>
      <c r="CR55" s="514"/>
      <c r="CS55" s="492"/>
      <c r="CT55" s="492"/>
      <c r="CU55" s="586"/>
      <c r="CV55" s="431"/>
      <c r="CW55" s="586"/>
      <c r="CX55" s="431"/>
      <c r="CY55" s="586"/>
      <c r="CZ55" s="431"/>
      <c r="DA55" s="431"/>
      <c r="DB55" s="586"/>
      <c r="DC55" s="431"/>
      <c r="DD55" s="586"/>
      <c r="DE55" s="431"/>
      <c r="DF55" s="586"/>
      <c r="DG55" s="431"/>
      <c r="DH55" s="431"/>
      <c r="DI55" s="431"/>
      <c r="DJ55" s="431"/>
      <c r="DK55" s="431"/>
      <c r="DL55" s="431"/>
      <c r="DM55" s="431"/>
      <c r="DN55" s="431"/>
      <c r="DO55" s="431"/>
      <c r="DP55" s="431"/>
      <c r="DQ55" s="431"/>
      <c r="DR55" s="431"/>
      <c r="DS55" s="431"/>
      <c r="DT55" s="431"/>
      <c r="DU55" s="431"/>
      <c r="DV55" s="431"/>
      <c r="DW55" s="431"/>
      <c r="DX55" s="431"/>
      <c r="DY55" s="431"/>
      <c r="DZ55" s="431"/>
      <c r="EA55" s="431"/>
      <c r="EB55" s="431"/>
      <c r="EC55" s="431"/>
      <c r="ED55" s="431"/>
      <c r="EE55" s="431"/>
      <c r="EF55" s="431"/>
      <c r="EG55" s="431"/>
      <c r="EH55" s="431"/>
      <c r="EI55" s="431"/>
      <c r="EJ55" s="431"/>
      <c r="EK55" s="431"/>
      <c r="EL55" s="431"/>
      <c r="EM55" s="431"/>
      <c r="EN55" s="431"/>
      <c r="EO55" s="431"/>
      <c r="EP55" s="431"/>
      <c r="EQ55" s="431"/>
      <c r="ER55" s="431"/>
      <c r="ES55" s="431"/>
      <c r="ET55" s="431"/>
      <c r="EU55" s="431"/>
      <c r="EV55" s="431"/>
      <c r="EW55" s="431"/>
      <c r="EX55" s="431"/>
      <c r="EY55" s="431"/>
      <c r="EZ55" s="431"/>
      <c r="FA55" s="431"/>
      <c r="FB55" s="431"/>
      <c r="FC55" s="431"/>
      <c r="FD55" s="431"/>
      <c r="FE55" s="431"/>
      <c r="FF55" s="431"/>
      <c r="FG55" s="431"/>
      <c r="FH55" s="431"/>
      <c r="FI55" s="431"/>
      <c r="FJ55" s="431"/>
      <c r="FK55" s="431"/>
      <c r="FL55" s="431"/>
      <c r="FM55" s="431"/>
      <c r="FN55" s="431"/>
      <c r="FO55" s="431"/>
      <c r="FP55" s="431"/>
      <c r="FQ55" s="431"/>
      <c r="FR55" s="431"/>
      <c r="FS55" s="587"/>
    </row>
    <row r="56" spans="1:175" s="511" customFormat="1" ht="26.45" customHeight="1">
      <c r="A56" s="510"/>
      <c r="B56" s="640" t="s">
        <v>288</v>
      </c>
      <c r="C56" s="615" t="s">
        <v>437</v>
      </c>
      <c r="D56" s="613">
        <v>48000000</v>
      </c>
      <c r="F56" s="626">
        <v>45951</v>
      </c>
      <c r="G56" s="512"/>
      <c r="H56" s="150"/>
      <c r="I56" s="302"/>
      <c r="J56" s="150"/>
      <c r="K56" s="690"/>
      <c r="L56" s="684">
        <f t="shared" si="1"/>
        <v>48000000</v>
      </c>
      <c r="M56" s="492"/>
      <c r="N56" s="493"/>
      <c r="O56" s="513"/>
      <c r="P56" s="493"/>
      <c r="Q56" s="513"/>
      <c r="R56" s="493"/>
      <c r="S56" s="513"/>
      <c r="T56" s="493"/>
      <c r="U56" s="493"/>
      <c r="V56" s="513"/>
      <c r="W56" s="493"/>
      <c r="X56" s="694">
        <f t="shared" si="2"/>
        <v>48000000</v>
      </c>
      <c r="Y56" s="492"/>
      <c r="Z56" s="514"/>
      <c r="AA56" s="492"/>
      <c r="AB56" s="492"/>
      <c r="AC56" s="514"/>
      <c r="AD56" s="492"/>
      <c r="AE56" s="514"/>
      <c r="AF56" s="492"/>
      <c r="AG56" s="514"/>
      <c r="AH56" s="492"/>
      <c r="AI56" s="492"/>
      <c r="AJ56" s="514"/>
      <c r="AK56" s="492"/>
      <c r="AL56" s="514"/>
      <c r="AM56" s="492"/>
      <c r="AN56" s="514"/>
      <c r="AO56" s="492"/>
      <c r="AP56" s="492"/>
      <c r="AQ56" s="514"/>
      <c r="AR56" s="492"/>
      <c r="AS56" s="514"/>
      <c r="AT56" s="492"/>
      <c r="AU56" s="514"/>
      <c r="AV56" s="492"/>
      <c r="AW56" s="492"/>
      <c r="AX56" s="514"/>
      <c r="AY56" s="492"/>
      <c r="AZ56" s="514"/>
      <c r="BA56" s="492"/>
      <c r="BB56" s="514"/>
      <c r="BC56" s="492"/>
      <c r="BD56" s="492"/>
      <c r="BE56" s="514"/>
      <c r="BF56" s="492"/>
      <c r="BG56" s="514"/>
      <c r="BH56" s="492"/>
      <c r="BI56" s="514"/>
      <c r="BJ56" s="492"/>
      <c r="BK56" s="492"/>
      <c r="BL56" s="514"/>
      <c r="BM56" s="492"/>
      <c r="BN56" s="514"/>
      <c r="BO56" s="492"/>
      <c r="BP56" s="514"/>
      <c r="BQ56" s="492"/>
      <c r="BR56" s="492"/>
      <c r="BS56" s="514"/>
      <c r="BT56" s="492"/>
      <c r="BU56" s="514"/>
      <c r="BV56" s="492"/>
      <c r="BW56" s="514"/>
      <c r="BX56" s="492"/>
      <c r="BY56" s="492"/>
      <c r="BZ56" s="514"/>
      <c r="CA56" s="492"/>
      <c r="CB56" s="514"/>
      <c r="CC56" s="492"/>
      <c r="CD56" s="514"/>
      <c r="CE56" s="492"/>
      <c r="CF56" s="492"/>
      <c r="CG56" s="514"/>
      <c r="CH56" s="492"/>
      <c r="CI56" s="514"/>
      <c r="CJ56" s="492"/>
      <c r="CK56" s="586"/>
      <c r="CL56" s="492"/>
      <c r="CM56" s="492"/>
      <c r="CN56" s="514"/>
      <c r="CO56" s="492"/>
      <c r="CP56" s="514"/>
      <c r="CQ56" s="492"/>
      <c r="CR56" s="514"/>
      <c r="CS56" s="492"/>
      <c r="CT56" s="492"/>
      <c r="CU56" s="586"/>
      <c r="CV56" s="431"/>
      <c r="CW56" s="586"/>
      <c r="CX56" s="431"/>
      <c r="CY56" s="586"/>
      <c r="CZ56" s="431"/>
      <c r="DA56" s="431"/>
      <c r="DB56" s="586"/>
      <c r="DC56" s="431"/>
      <c r="DD56" s="586"/>
      <c r="DE56" s="431"/>
      <c r="DF56" s="586"/>
      <c r="DG56" s="431"/>
      <c r="DH56" s="431"/>
      <c r="DI56" s="431"/>
      <c r="DJ56" s="431"/>
      <c r="DK56" s="431"/>
      <c r="DL56" s="431"/>
      <c r="DM56" s="431"/>
      <c r="DN56" s="431"/>
      <c r="DO56" s="431"/>
      <c r="DP56" s="431"/>
      <c r="DQ56" s="431"/>
      <c r="DR56" s="431"/>
      <c r="DS56" s="431"/>
      <c r="DT56" s="431"/>
      <c r="DU56" s="431"/>
      <c r="DV56" s="431"/>
      <c r="DW56" s="431"/>
      <c r="DX56" s="431"/>
      <c r="DY56" s="431"/>
      <c r="DZ56" s="431"/>
      <c r="EA56" s="431"/>
      <c r="EB56" s="431"/>
      <c r="EC56" s="431"/>
      <c r="ED56" s="431"/>
      <c r="EE56" s="431"/>
      <c r="EF56" s="431"/>
      <c r="EG56" s="431"/>
      <c r="EH56" s="431"/>
      <c r="EI56" s="431"/>
      <c r="EJ56" s="431"/>
      <c r="EK56" s="431"/>
      <c r="EL56" s="431"/>
      <c r="EM56" s="431"/>
      <c r="EN56" s="431"/>
      <c r="EO56" s="431"/>
      <c r="EP56" s="431"/>
      <c r="EQ56" s="431"/>
      <c r="ER56" s="431"/>
      <c r="ES56" s="431"/>
      <c r="ET56" s="431"/>
      <c r="EU56" s="431"/>
      <c r="EV56" s="431"/>
      <c r="EW56" s="431"/>
      <c r="EX56" s="431"/>
      <c r="EY56" s="431"/>
      <c r="EZ56" s="431"/>
      <c r="FA56" s="431"/>
      <c r="FB56" s="431"/>
      <c r="FC56" s="431"/>
      <c r="FD56" s="431"/>
      <c r="FE56" s="431"/>
      <c r="FF56" s="431"/>
      <c r="FG56" s="431"/>
      <c r="FH56" s="431"/>
      <c r="FI56" s="431"/>
      <c r="FJ56" s="431"/>
      <c r="FK56" s="431"/>
      <c r="FL56" s="431"/>
      <c r="FM56" s="431"/>
      <c r="FN56" s="431"/>
      <c r="FO56" s="431"/>
      <c r="FP56" s="431"/>
      <c r="FQ56" s="431"/>
      <c r="FR56" s="431"/>
      <c r="FS56" s="587"/>
    </row>
    <row r="57" spans="1:175" s="511" customFormat="1" ht="26.45" customHeight="1">
      <c r="A57" s="510"/>
      <c r="B57" s="640" t="s">
        <v>288</v>
      </c>
      <c r="C57" s="615" t="s">
        <v>438</v>
      </c>
      <c r="D57" s="613">
        <v>12600000</v>
      </c>
      <c r="F57" s="626">
        <v>45951</v>
      </c>
      <c r="G57" s="512"/>
      <c r="H57" s="150"/>
      <c r="I57" s="302"/>
      <c r="J57" s="150"/>
      <c r="K57" s="690"/>
      <c r="L57" s="684">
        <f t="shared" si="1"/>
        <v>12600000</v>
      </c>
      <c r="M57" s="492"/>
      <c r="N57" s="493"/>
      <c r="O57" s="513"/>
      <c r="P57" s="493"/>
      <c r="Q57" s="513"/>
      <c r="R57" s="493"/>
      <c r="S57" s="513"/>
      <c r="T57" s="493"/>
      <c r="U57" s="493"/>
      <c r="V57" s="513"/>
      <c r="W57" s="493"/>
      <c r="X57" s="694">
        <f t="shared" si="2"/>
        <v>12600000</v>
      </c>
      <c r="Y57" s="492"/>
      <c r="Z57" s="514"/>
      <c r="AA57" s="492"/>
      <c r="AB57" s="492"/>
      <c r="AC57" s="514"/>
      <c r="AD57" s="492"/>
      <c r="AE57" s="514"/>
      <c r="AF57" s="492"/>
      <c r="AG57" s="514"/>
      <c r="AH57" s="492"/>
      <c r="AI57" s="492"/>
      <c r="AJ57" s="514"/>
      <c r="AK57" s="492"/>
      <c r="AL57" s="514"/>
      <c r="AM57" s="492"/>
      <c r="AN57" s="514"/>
      <c r="AO57" s="492"/>
      <c r="AP57" s="492"/>
      <c r="AQ57" s="514"/>
      <c r="AR57" s="492"/>
      <c r="AS57" s="514"/>
      <c r="AT57" s="492"/>
      <c r="AU57" s="514"/>
      <c r="AV57" s="492"/>
      <c r="AW57" s="492"/>
      <c r="AX57" s="514"/>
      <c r="AY57" s="492"/>
      <c r="AZ57" s="514"/>
      <c r="BA57" s="492"/>
      <c r="BB57" s="514"/>
      <c r="BC57" s="492"/>
      <c r="BD57" s="492"/>
      <c r="BE57" s="514"/>
      <c r="BF57" s="492"/>
      <c r="BG57" s="514"/>
      <c r="BH57" s="492"/>
      <c r="BI57" s="514"/>
      <c r="BJ57" s="492"/>
      <c r="BK57" s="492"/>
      <c r="BL57" s="514"/>
      <c r="BM57" s="492"/>
      <c r="BN57" s="514"/>
      <c r="BO57" s="492"/>
      <c r="BP57" s="514"/>
      <c r="BQ57" s="492"/>
      <c r="BR57" s="492"/>
      <c r="BS57" s="514"/>
      <c r="BT57" s="492"/>
      <c r="BU57" s="514"/>
      <c r="BV57" s="492"/>
      <c r="BW57" s="514"/>
      <c r="BX57" s="492"/>
      <c r="BY57" s="492"/>
      <c r="BZ57" s="514"/>
      <c r="CA57" s="492"/>
      <c r="CB57" s="514"/>
      <c r="CC57" s="492"/>
      <c r="CD57" s="514"/>
      <c r="CE57" s="492"/>
      <c r="CF57" s="492"/>
      <c r="CG57" s="514"/>
      <c r="CH57" s="492"/>
      <c r="CI57" s="514"/>
      <c r="CJ57" s="492"/>
      <c r="CK57" s="586"/>
      <c r="CL57" s="492"/>
      <c r="CM57" s="492"/>
      <c r="CN57" s="514"/>
      <c r="CO57" s="492"/>
      <c r="CP57" s="514"/>
      <c r="CQ57" s="492"/>
      <c r="CR57" s="514"/>
      <c r="CS57" s="492"/>
      <c r="CT57" s="492"/>
      <c r="CU57" s="586"/>
      <c r="CV57" s="431"/>
      <c r="CW57" s="586"/>
      <c r="CX57" s="431"/>
      <c r="CY57" s="586"/>
      <c r="CZ57" s="431"/>
      <c r="DA57" s="431"/>
      <c r="DB57" s="586"/>
      <c r="DC57" s="431"/>
      <c r="DD57" s="586"/>
      <c r="DE57" s="431"/>
      <c r="DF57" s="586"/>
      <c r="DG57" s="431"/>
      <c r="DH57" s="431"/>
      <c r="DI57" s="431"/>
      <c r="DJ57" s="431"/>
      <c r="DK57" s="431"/>
      <c r="DL57" s="431"/>
      <c r="DM57" s="431"/>
      <c r="DN57" s="431"/>
      <c r="DO57" s="431"/>
      <c r="DP57" s="431"/>
      <c r="DQ57" s="431"/>
      <c r="DR57" s="431"/>
      <c r="DS57" s="431"/>
      <c r="DT57" s="431"/>
      <c r="DU57" s="431"/>
      <c r="DV57" s="431"/>
      <c r="DW57" s="431"/>
      <c r="DX57" s="431"/>
      <c r="DY57" s="431"/>
      <c r="DZ57" s="431"/>
      <c r="EA57" s="431"/>
      <c r="EB57" s="431"/>
      <c r="EC57" s="431"/>
      <c r="ED57" s="431"/>
      <c r="EE57" s="431"/>
      <c r="EF57" s="431"/>
      <c r="EG57" s="431"/>
      <c r="EH57" s="431"/>
      <c r="EI57" s="431"/>
      <c r="EJ57" s="431"/>
      <c r="EK57" s="431"/>
      <c r="EL57" s="431"/>
      <c r="EM57" s="431"/>
      <c r="EN57" s="431"/>
      <c r="EO57" s="431"/>
      <c r="EP57" s="431"/>
      <c r="EQ57" s="431"/>
      <c r="ER57" s="431"/>
      <c r="ES57" s="431"/>
      <c r="ET57" s="431"/>
      <c r="EU57" s="431"/>
      <c r="EV57" s="431"/>
      <c r="EW57" s="431"/>
      <c r="EX57" s="431"/>
      <c r="EY57" s="431"/>
      <c r="EZ57" s="431"/>
      <c r="FA57" s="431"/>
      <c r="FB57" s="431"/>
      <c r="FC57" s="431"/>
      <c r="FD57" s="431"/>
      <c r="FE57" s="431"/>
      <c r="FF57" s="431"/>
      <c r="FG57" s="431"/>
      <c r="FH57" s="431"/>
      <c r="FI57" s="431"/>
      <c r="FJ57" s="431"/>
      <c r="FK57" s="431"/>
      <c r="FL57" s="431"/>
      <c r="FM57" s="431"/>
      <c r="FN57" s="431"/>
      <c r="FO57" s="431"/>
      <c r="FP57" s="431"/>
      <c r="FQ57" s="431"/>
      <c r="FR57" s="431"/>
      <c r="FS57" s="587"/>
    </row>
    <row r="58" spans="1:175" s="511" customFormat="1" ht="26.45" customHeight="1">
      <c r="A58" s="510"/>
      <c r="B58" s="640" t="s">
        <v>288</v>
      </c>
      <c r="C58" s="615" t="s">
        <v>439</v>
      </c>
      <c r="D58" s="613">
        <v>6550000</v>
      </c>
      <c r="F58" s="626">
        <v>45951</v>
      </c>
      <c r="G58" s="512"/>
      <c r="H58" s="150"/>
      <c r="I58" s="302"/>
      <c r="J58" s="150"/>
      <c r="K58" s="690"/>
      <c r="L58" s="684">
        <f t="shared" si="1"/>
        <v>6550000</v>
      </c>
      <c r="M58" s="492"/>
      <c r="N58" s="493"/>
      <c r="O58" s="513"/>
      <c r="P58" s="493"/>
      <c r="Q58" s="513"/>
      <c r="R58" s="493"/>
      <c r="S58" s="513"/>
      <c r="T58" s="493"/>
      <c r="U58" s="493"/>
      <c r="V58" s="513"/>
      <c r="W58" s="493"/>
      <c r="X58" s="694">
        <f t="shared" si="2"/>
        <v>6550000</v>
      </c>
      <c r="Y58" s="492"/>
      <c r="Z58" s="514"/>
      <c r="AA58" s="492"/>
      <c r="AB58" s="492"/>
      <c r="AC58" s="514"/>
      <c r="AD58" s="492"/>
      <c r="AE58" s="514"/>
      <c r="AF58" s="492"/>
      <c r="AG58" s="514"/>
      <c r="AH58" s="492"/>
      <c r="AI58" s="492"/>
      <c r="AJ58" s="514"/>
      <c r="AK58" s="492"/>
      <c r="AL58" s="514"/>
      <c r="AM58" s="492"/>
      <c r="AN58" s="514"/>
      <c r="AO58" s="492"/>
      <c r="AP58" s="492"/>
      <c r="AQ58" s="514"/>
      <c r="AR58" s="492"/>
      <c r="AS58" s="514"/>
      <c r="AT58" s="492"/>
      <c r="AU58" s="514"/>
      <c r="AV58" s="492"/>
      <c r="AW58" s="492"/>
      <c r="AX58" s="514"/>
      <c r="AY58" s="492"/>
      <c r="AZ58" s="514"/>
      <c r="BA58" s="492"/>
      <c r="BB58" s="514"/>
      <c r="BC58" s="492"/>
      <c r="BD58" s="492"/>
      <c r="BE58" s="514"/>
      <c r="BF58" s="492"/>
      <c r="BG58" s="514"/>
      <c r="BH58" s="492"/>
      <c r="BI58" s="514"/>
      <c r="BJ58" s="492"/>
      <c r="BK58" s="492"/>
      <c r="BL58" s="514"/>
      <c r="BM58" s="492"/>
      <c r="BN58" s="514"/>
      <c r="BO58" s="492"/>
      <c r="BP58" s="514"/>
      <c r="BQ58" s="492"/>
      <c r="BR58" s="492"/>
      <c r="BS58" s="514"/>
      <c r="BT58" s="492"/>
      <c r="BU58" s="514"/>
      <c r="BV58" s="492"/>
      <c r="BW58" s="514"/>
      <c r="BX58" s="492"/>
      <c r="BY58" s="492"/>
      <c r="BZ58" s="514"/>
      <c r="CA58" s="492"/>
      <c r="CB58" s="514"/>
      <c r="CC58" s="492"/>
      <c r="CD58" s="514"/>
      <c r="CE58" s="492"/>
      <c r="CF58" s="492"/>
      <c r="CG58" s="514"/>
      <c r="CH58" s="492"/>
      <c r="CI58" s="514"/>
      <c r="CJ58" s="492"/>
      <c r="CK58" s="586"/>
      <c r="CL58" s="492"/>
      <c r="CM58" s="492"/>
      <c r="CN58" s="514"/>
      <c r="CO58" s="492"/>
      <c r="CP58" s="514"/>
      <c r="CQ58" s="492"/>
      <c r="CR58" s="514"/>
      <c r="CS58" s="492"/>
      <c r="CT58" s="492"/>
      <c r="CU58" s="586"/>
      <c r="CV58" s="431"/>
      <c r="CW58" s="586"/>
      <c r="CX58" s="431"/>
      <c r="CY58" s="586"/>
      <c r="CZ58" s="431"/>
      <c r="DA58" s="431"/>
      <c r="DB58" s="586"/>
      <c r="DC58" s="431"/>
      <c r="DD58" s="586"/>
      <c r="DE58" s="431"/>
      <c r="DF58" s="586"/>
      <c r="DG58" s="431"/>
      <c r="DH58" s="431"/>
      <c r="DI58" s="431"/>
      <c r="DJ58" s="431"/>
      <c r="DK58" s="431"/>
      <c r="DL58" s="431"/>
      <c r="DM58" s="431"/>
      <c r="DN58" s="431"/>
      <c r="DO58" s="431"/>
      <c r="DP58" s="431"/>
      <c r="DQ58" s="431"/>
      <c r="DR58" s="431"/>
      <c r="DS58" s="431"/>
      <c r="DT58" s="431"/>
      <c r="DU58" s="431"/>
      <c r="DV58" s="431"/>
      <c r="DW58" s="431"/>
      <c r="DX58" s="431"/>
      <c r="DY58" s="431"/>
      <c r="DZ58" s="431"/>
      <c r="EA58" s="431"/>
      <c r="EB58" s="431"/>
      <c r="EC58" s="431"/>
      <c r="ED58" s="431"/>
      <c r="EE58" s="431"/>
      <c r="EF58" s="431"/>
      <c r="EG58" s="431"/>
      <c r="EH58" s="431"/>
      <c r="EI58" s="431"/>
      <c r="EJ58" s="431"/>
      <c r="EK58" s="431"/>
      <c r="EL58" s="431"/>
      <c r="EM58" s="431"/>
      <c r="EN58" s="431"/>
      <c r="EO58" s="431"/>
      <c r="EP58" s="431"/>
      <c r="EQ58" s="431"/>
      <c r="ER58" s="431"/>
      <c r="ES58" s="431"/>
      <c r="ET58" s="431"/>
      <c r="EU58" s="431"/>
      <c r="EV58" s="431"/>
      <c r="EW58" s="431"/>
      <c r="EX58" s="431"/>
      <c r="EY58" s="431"/>
      <c r="EZ58" s="431"/>
      <c r="FA58" s="431"/>
      <c r="FB58" s="431"/>
      <c r="FC58" s="431"/>
      <c r="FD58" s="431"/>
      <c r="FE58" s="431"/>
      <c r="FF58" s="431"/>
      <c r="FG58" s="431"/>
      <c r="FH58" s="431"/>
      <c r="FI58" s="431"/>
      <c r="FJ58" s="431"/>
      <c r="FK58" s="431"/>
      <c r="FL58" s="431"/>
      <c r="FM58" s="431"/>
      <c r="FN58" s="431"/>
      <c r="FO58" s="431"/>
      <c r="FP58" s="431"/>
      <c r="FQ58" s="431"/>
      <c r="FR58" s="431"/>
      <c r="FS58" s="587"/>
    </row>
    <row r="59" spans="1:175" s="511" customFormat="1" ht="26.45" customHeight="1">
      <c r="A59" s="510"/>
      <c r="B59" s="640" t="s">
        <v>288</v>
      </c>
      <c r="C59" s="615" t="s">
        <v>440</v>
      </c>
      <c r="D59" s="613">
        <v>10000000</v>
      </c>
      <c r="F59" s="626">
        <v>45950</v>
      </c>
      <c r="G59" s="512"/>
      <c r="H59" s="150"/>
      <c r="I59" s="302"/>
      <c r="J59" s="150"/>
      <c r="K59" s="692">
        <f>D59</f>
        <v>10000000</v>
      </c>
      <c r="L59" s="684"/>
      <c r="M59" s="492"/>
      <c r="N59" s="493"/>
      <c r="O59" s="513"/>
      <c r="P59" s="493"/>
      <c r="Q59" s="513"/>
      <c r="R59" s="493"/>
      <c r="S59" s="513"/>
      <c r="T59" s="493"/>
      <c r="U59" s="493"/>
      <c r="V59" s="513"/>
      <c r="W59" s="493"/>
      <c r="X59" s="694">
        <f t="shared" si="2"/>
        <v>10000000</v>
      </c>
      <c r="Y59" s="492"/>
      <c r="Z59" s="514"/>
      <c r="AA59" s="492"/>
      <c r="AB59" s="492"/>
      <c r="AC59" s="514"/>
      <c r="AD59" s="492"/>
      <c r="AE59" s="514"/>
      <c r="AF59" s="492"/>
      <c r="AG59" s="514"/>
      <c r="AH59" s="492"/>
      <c r="AI59" s="492"/>
      <c r="AJ59" s="514"/>
      <c r="AK59" s="492"/>
      <c r="AL59" s="514"/>
      <c r="AM59" s="492"/>
      <c r="AN59" s="514"/>
      <c r="AO59" s="492"/>
      <c r="AP59" s="492"/>
      <c r="AQ59" s="514"/>
      <c r="AR59" s="492"/>
      <c r="AS59" s="514"/>
      <c r="AT59" s="492"/>
      <c r="AU59" s="514"/>
      <c r="AV59" s="492"/>
      <c r="AW59" s="492"/>
      <c r="AX59" s="514"/>
      <c r="AY59" s="492"/>
      <c r="AZ59" s="514"/>
      <c r="BA59" s="492"/>
      <c r="BB59" s="514"/>
      <c r="BC59" s="492"/>
      <c r="BD59" s="492"/>
      <c r="BE59" s="514"/>
      <c r="BF59" s="492"/>
      <c r="BG59" s="514"/>
      <c r="BH59" s="492"/>
      <c r="BI59" s="514"/>
      <c r="BJ59" s="492"/>
      <c r="BK59" s="492"/>
      <c r="BL59" s="514"/>
      <c r="BM59" s="492"/>
      <c r="BN59" s="514"/>
      <c r="BO59" s="492"/>
      <c r="BP59" s="514"/>
      <c r="BQ59" s="492"/>
      <c r="BR59" s="492"/>
      <c r="BS59" s="514"/>
      <c r="BT59" s="492"/>
      <c r="BU59" s="514"/>
      <c r="BV59" s="492"/>
      <c r="BW59" s="514"/>
      <c r="BX59" s="492"/>
      <c r="BY59" s="492"/>
      <c r="BZ59" s="514"/>
      <c r="CA59" s="492"/>
      <c r="CB59" s="514"/>
      <c r="CC59" s="492"/>
      <c r="CD59" s="514"/>
      <c r="CE59" s="492"/>
      <c r="CF59" s="492"/>
      <c r="CG59" s="514"/>
      <c r="CH59" s="492"/>
      <c r="CI59" s="514"/>
      <c r="CJ59" s="492"/>
      <c r="CK59" s="586"/>
      <c r="CL59" s="492"/>
      <c r="CM59" s="492"/>
      <c r="CN59" s="514"/>
      <c r="CO59" s="492"/>
      <c r="CP59" s="514"/>
      <c r="CQ59" s="492"/>
      <c r="CR59" s="514"/>
      <c r="CS59" s="492"/>
      <c r="CT59" s="492"/>
      <c r="CU59" s="586"/>
      <c r="CV59" s="431"/>
      <c r="CW59" s="586"/>
      <c r="CX59" s="431"/>
      <c r="CY59" s="586"/>
      <c r="CZ59" s="431"/>
      <c r="DA59" s="431"/>
      <c r="DB59" s="586"/>
      <c r="DC59" s="431"/>
      <c r="DD59" s="586"/>
      <c r="DE59" s="431"/>
      <c r="DF59" s="586"/>
      <c r="DG59" s="431"/>
      <c r="DH59" s="431"/>
      <c r="DI59" s="431"/>
      <c r="DJ59" s="431"/>
      <c r="DK59" s="431"/>
      <c r="DL59" s="431"/>
      <c r="DM59" s="431"/>
      <c r="DN59" s="431"/>
      <c r="DO59" s="431"/>
      <c r="DP59" s="431"/>
      <c r="DQ59" s="431"/>
      <c r="DR59" s="431"/>
      <c r="DS59" s="431"/>
      <c r="DT59" s="431"/>
      <c r="DU59" s="431"/>
      <c r="DV59" s="431"/>
      <c r="DW59" s="431"/>
      <c r="DX59" s="431"/>
      <c r="DY59" s="431"/>
      <c r="DZ59" s="431"/>
      <c r="EA59" s="431"/>
      <c r="EB59" s="431"/>
      <c r="EC59" s="431"/>
      <c r="ED59" s="431"/>
      <c r="EE59" s="431"/>
      <c r="EF59" s="431"/>
      <c r="EG59" s="431"/>
      <c r="EH59" s="431"/>
      <c r="EI59" s="431"/>
      <c r="EJ59" s="431"/>
      <c r="EK59" s="431"/>
      <c r="EL59" s="431"/>
      <c r="EM59" s="431"/>
      <c r="EN59" s="431"/>
      <c r="EO59" s="431"/>
      <c r="EP59" s="431"/>
      <c r="EQ59" s="431"/>
      <c r="ER59" s="431"/>
      <c r="ES59" s="431"/>
      <c r="ET59" s="431"/>
      <c r="EU59" s="431"/>
      <c r="EV59" s="431"/>
      <c r="EW59" s="431"/>
      <c r="EX59" s="431"/>
      <c r="EY59" s="431"/>
      <c r="EZ59" s="431"/>
      <c r="FA59" s="431"/>
      <c r="FB59" s="431"/>
      <c r="FC59" s="431"/>
      <c r="FD59" s="431"/>
      <c r="FE59" s="431"/>
      <c r="FF59" s="431"/>
      <c r="FG59" s="431"/>
      <c r="FH59" s="431"/>
      <c r="FI59" s="431"/>
      <c r="FJ59" s="431"/>
      <c r="FK59" s="431"/>
      <c r="FL59" s="431"/>
      <c r="FM59" s="431"/>
      <c r="FN59" s="431"/>
      <c r="FO59" s="431"/>
      <c r="FP59" s="431"/>
      <c r="FQ59" s="431"/>
      <c r="FR59" s="431"/>
      <c r="FS59" s="587"/>
    </row>
    <row r="60" spans="1:175" s="511" customFormat="1" ht="26.45" customHeight="1">
      <c r="A60" s="510"/>
      <c r="B60" s="640" t="s">
        <v>288</v>
      </c>
      <c r="C60" s="615" t="s">
        <v>441</v>
      </c>
      <c r="D60" s="613">
        <v>10000000</v>
      </c>
      <c r="F60" s="626">
        <v>45951</v>
      </c>
      <c r="G60" s="512"/>
      <c r="H60" s="150"/>
      <c r="I60" s="302"/>
      <c r="J60" s="150"/>
      <c r="K60" s="690"/>
      <c r="L60" s="684">
        <v>10000000</v>
      </c>
      <c r="M60" s="492"/>
      <c r="N60" s="493"/>
      <c r="O60" s="513"/>
      <c r="P60" s="493"/>
      <c r="Q60" s="513"/>
      <c r="R60" s="493"/>
      <c r="S60" s="513"/>
      <c r="T60" s="493"/>
      <c r="U60" s="493"/>
      <c r="V60" s="513"/>
      <c r="W60" s="493"/>
      <c r="X60" s="694">
        <f t="shared" si="2"/>
        <v>10000000</v>
      </c>
      <c r="Y60" s="492"/>
      <c r="Z60" s="514"/>
      <c r="AA60" s="492"/>
      <c r="AB60" s="492"/>
      <c r="AC60" s="514"/>
      <c r="AD60" s="492"/>
      <c r="AE60" s="514"/>
      <c r="AF60" s="492"/>
      <c r="AG60" s="514"/>
      <c r="AH60" s="492"/>
      <c r="AI60" s="492"/>
      <c r="AJ60" s="514"/>
      <c r="AK60" s="492"/>
      <c r="AL60" s="514"/>
      <c r="AM60" s="492"/>
      <c r="AN60" s="514"/>
      <c r="AO60" s="492"/>
      <c r="AP60" s="492"/>
      <c r="AQ60" s="514"/>
      <c r="AR60" s="492"/>
      <c r="AS60" s="514"/>
      <c r="AT60" s="492"/>
      <c r="AU60" s="514"/>
      <c r="AV60" s="492"/>
      <c r="AW60" s="492"/>
      <c r="AX60" s="514"/>
      <c r="AY60" s="492"/>
      <c r="AZ60" s="514"/>
      <c r="BA60" s="492"/>
      <c r="BB60" s="514"/>
      <c r="BC60" s="492"/>
      <c r="BD60" s="492"/>
      <c r="BE60" s="514"/>
      <c r="BF60" s="492"/>
      <c r="BG60" s="514"/>
      <c r="BH60" s="492"/>
      <c r="BI60" s="514"/>
      <c r="BJ60" s="492"/>
      <c r="BK60" s="492"/>
      <c r="BL60" s="514"/>
      <c r="BM60" s="492"/>
      <c r="BN60" s="514"/>
      <c r="BO60" s="492"/>
      <c r="BP60" s="514"/>
      <c r="BQ60" s="492"/>
      <c r="BR60" s="492"/>
      <c r="BS60" s="514"/>
      <c r="BT60" s="492"/>
      <c r="BU60" s="514"/>
      <c r="BV60" s="492"/>
      <c r="BW60" s="514"/>
      <c r="BX60" s="492"/>
      <c r="BY60" s="492"/>
      <c r="BZ60" s="514"/>
      <c r="CA60" s="492"/>
      <c r="CB60" s="514"/>
      <c r="CC60" s="492"/>
      <c r="CD60" s="514"/>
      <c r="CE60" s="492"/>
      <c r="CF60" s="492"/>
      <c r="CG60" s="514"/>
      <c r="CH60" s="492"/>
      <c r="CI60" s="514"/>
      <c r="CJ60" s="492"/>
      <c r="CK60" s="586"/>
      <c r="CL60" s="492"/>
      <c r="CM60" s="492"/>
      <c r="CN60" s="514"/>
      <c r="CO60" s="492"/>
      <c r="CP60" s="514"/>
      <c r="CQ60" s="492"/>
      <c r="CR60" s="514"/>
      <c r="CS60" s="492"/>
      <c r="CT60" s="492"/>
      <c r="CU60" s="586"/>
      <c r="CV60" s="431"/>
      <c r="CW60" s="586"/>
      <c r="CX60" s="431"/>
      <c r="CY60" s="586"/>
      <c r="CZ60" s="431"/>
      <c r="DA60" s="431"/>
      <c r="DB60" s="586"/>
      <c r="DC60" s="431"/>
      <c r="DD60" s="586"/>
      <c r="DE60" s="431"/>
      <c r="DF60" s="586"/>
      <c r="DG60" s="431"/>
      <c r="DH60" s="431"/>
      <c r="DI60" s="431"/>
      <c r="DJ60" s="431"/>
      <c r="DK60" s="431"/>
      <c r="DL60" s="431"/>
      <c r="DM60" s="431"/>
      <c r="DN60" s="431"/>
      <c r="DO60" s="431"/>
      <c r="DP60" s="431"/>
      <c r="DQ60" s="431"/>
      <c r="DR60" s="431"/>
      <c r="DS60" s="431"/>
      <c r="DT60" s="431"/>
      <c r="DU60" s="431"/>
      <c r="DV60" s="431"/>
      <c r="DW60" s="431"/>
      <c r="DX60" s="431"/>
      <c r="DY60" s="431"/>
      <c r="DZ60" s="431"/>
      <c r="EA60" s="431"/>
      <c r="EB60" s="431"/>
      <c r="EC60" s="431"/>
      <c r="ED60" s="431"/>
      <c r="EE60" s="431"/>
      <c r="EF60" s="431"/>
      <c r="EG60" s="431"/>
      <c r="EH60" s="431"/>
      <c r="EI60" s="431"/>
      <c r="EJ60" s="431"/>
      <c r="EK60" s="431"/>
      <c r="EL60" s="431"/>
      <c r="EM60" s="431"/>
      <c r="EN60" s="431"/>
      <c r="EO60" s="431"/>
      <c r="EP60" s="431"/>
      <c r="EQ60" s="431"/>
      <c r="ER60" s="431"/>
      <c r="ES60" s="431"/>
      <c r="ET60" s="431"/>
      <c r="EU60" s="431"/>
      <c r="EV60" s="431"/>
      <c r="EW60" s="431"/>
      <c r="EX60" s="431"/>
      <c r="EY60" s="431"/>
      <c r="EZ60" s="431"/>
      <c r="FA60" s="431"/>
      <c r="FB60" s="431"/>
      <c r="FC60" s="431"/>
      <c r="FD60" s="431"/>
      <c r="FE60" s="431"/>
      <c r="FF60" s="431"/>
      <c r="FG60" s="431"/>
      <c r="FH60" s="431"/>
      <c r="FI60" s="431"/>
      <c r="FJ60" s="431"/>
      <c r="FK60" s="431"/>
      <c r="FL60" s="431"/>
      <c r="FM60" s="431"/>
      <c r="FN60" s="431"/>
      <c r="FO60" s="431"/>
      <c r="FP60" s="431"/>
      <c r="FQ60" s="431"/>
      <c r="FR60" s="431"/>
      <c r="FS60" s="587"/>
    </row>
    <row r="61" spans="1:175" s="511" customFormat="1" ht="26.45" customHeight="1">
      <c r="A61" s="510"/>
      <c r="B61" s="640" t="s">
        <v>288</v>
      </c>
      <c r="C61" s="615" t="s">
        <v>442</v>
      </c>
      <c r="D61" s="613">
        <f>75000000+50000000</f>
        <v>125000000</v>
      </c>
      <c r="F61" s="626">
        <v>45951</v>
      </c>
      <c r="G61" s="512"/>
      <c r="H61" s="150"/>
      <c r="I61" s="302"/>
      <c r="J61" s="150"/>
      <c r="K61" s="690"/>
      <c r="L61" s="684">
        <f>D61</f>
        <v>125000000</v>
      </c>
      <c r="M61" s="492"/>
      <c r="N61" s="493"/>
      <c r="O61" s="513"/>
      <c r="P61" s="493"/>
      <c r="Q61" s="513"/>
      <c r="R61" s="493"/>
      <c r="S61" s="513"/>
      <c r="T61" s="493"/>
      <c r="U61" s="493"/>
      <c r="V61" s="513"/>
      <c r="W61" s="493"/>
      <c r="X61" s="694">
        <f t="shared" ref="X61:X102" si="3">SUM(H61:W61)</f>
        <v>125000000</v>
      </c>
      <c r="Y61" s="492"/>
      <c r="Z61" s="514"/>
      <c r="AA61" s="492"/>
      <c r="AB61" s="492"/>
      <c r="AC61" s="514"/>
      <c r="AD61" s="492"/>
      <c r="AE61" s="514"/>
      <c r="AF61" s="492"/>
      <c r="AG61" s="514"/>
      <c r="AH61" s="492"/>
      <c r="AI61" s="492"/>
      <c r="AJ61" s="514"/>
      <c r="AK61" s="492"/>
      <c r="AL61" s="514"/>
      <c r="AM61" s="492"/>
      <c r="AN61" s="514"/>
      <c r="AO61" s="492"/>
      <c r="AP61" s="492"/>
      <c r="AQ61" s="514"/>
      <c r="AR61" s="492"/>
      <c r="AS61" s="514"/>
      <c r="AT61" s="492"/>
      <c r="AU61" s="514"/>
      <c r="AV61" s="492"/>
      <c r="AW61" s="492"/>
      <c r="AX61" s="514"/>
      <c r="AY61" s="492"/>
      <c r="AZ61" s="514"/>
      <c r="BA61" s="492"/>
      <c r="BB61" s="514"/>
      <c r="BC61" s="492"/>
      <c r="BD61" s="492"/>
      <c r="BE61" s="514"/>
      <c r="BF61" s="492"/>
      <c r="BG61" s="514"/>
      <c r="BH61" s="492"/>
      <c r="BI61" s="514"/>
      <c r="BJ61" s="492"/>
      <c r="BK61" s="492"/>
      <c r="BL61" s="514"/>
      <c r="BM61" s="492"/>
      <c r="BN61" s="514"/>
      <c r="BO61" s="492"/>
      <c r="BP61" s="514"/>
      <c r="BQ61" s="492"/>
      <c r="BR61" s="492"/>
      <c r="BS61" s="514"/>
      <c r="BT61" s="492"/>
      <c r="BU61" s="514"/>
      <c r="BV61" s="492"/>
      <c r="BW61" s="514"/>
      <c r="BX61" s="492"/>
      <c r="BY61" s="492"/>
      <c r="BZ61" s="514"/>
      <c r="CA61" s="492"/>
      <c r="CB61" s="514"/>
      <c r="CC61" s="492"/>
      <c r="CD61" s="514"/>
      <c r="CE61" s="492"/>
      <c r="CF61" s="492"/>
      <c r="CG61" s="514"/>
      <c r="CH61" s="492"/>
      <c r="CI61" s="514"/>
      <c r="CJ61" s="492"/>
      <c r="CK61" s="586"/>
      <c r="CL61" s="492"/>
      <c r="CM61" s="492"/>
      <c r="CN61" s="514"/>
      <c r="CO61" s="492"/>
      <c r="CP61" s="514"/>
      <c r="CQ61" s="492"/>
      <c r="CR61" s="514"/>
      <c r="CS61" s="492"/>
      <c r="CT61" s="492"/>
      <c r="CU61" s="586"/>
      <c r="CV61" s="431"/>
      <c r="CW61" s="586"/>
      <c r="CX61" s="431"/>
      <c r="CY61" s="586"/>
      <c r="CZ61" s="431"/>
      <c r="DA61" s="431"/>
      <c r="DB61" s="586"/>
      <c r="DC61" s="431"/>
      <c r="DD61" s="586"/>
      <c r="DE61" s="431"/>
      <c r="DF61" s="586"/>
      <c r="DG61" s="431"/>
      <c r="DH61" s="431"/>
      <c r="DI61" s="431"/>
      <c r="DJ61" s="431"/>
      <c r="DK61" s="431"/>
      <c r="DL61" s="431"/>
      <c r="DM61" s="431"/>
      <c r="DN61" s="431"/>
      <c r="DO61" s="431"/>
      <c r="DP61" s="431"/>
      <c r="DQ61" s="431"/>
      <c r="DR61" s="431"/>
      <c r="DS61" s="431"/>
      <c r="DT61" s="431"/>
      <c r="DU61" s="431"/>
      <c r="DV61" s="431"/>
      <c r="DW61" s="431"/>
      <c r="DX61" s="431"/>
      <c r="DY61" s="431"/>
      <c r="DZ61" s="431"/>
      <c r="EA61" s="431"/>
      <c r="EB61" s="431"/>
      <c r="EC61" s="431"/>
      <c r="ED61" s="431"/>
      <c r="EE61" s="431"/>
      <c r="EF61" s="431"/>
      <c r="EG61" s="431"/>
      <c r="EH61" s="431"/>
      <c r="EI61" s="431"/>
      <c r="EJ61" s="431"/>
      <c r="EK61" s="431"/>
      <c r="EL61" s="431"/>
      <c r="EM61" s="431"/>
      <c r="EN61" s="431"/>
      <c r="EO61" s="431"/>
      <c r="EP61" s="431"/>
      <c r="EQ61" s="431"/>
      <c r="ER61" s="431"/>
      <c r="ES61" s="431"/>
      <c r="ET61" s="431"/>
      <c r="EU61" s="431"/>
      <c r="EV61" s="431"/>
      <c r="EW61" s="431"/>
      <c r="EX61" s="431"/>
      <c r="EY61" s="431"/>
      <c r="EZ61" s="431"/>
      <c r="FA61" s="431"/>
      <c r="FB61" s="431"/>
      <c r="FC61" s="431"/>
      <c r="FD61" s="431"/>
      <c r="FE61" s="431"/>
      <c r="FF61" s="431"/>
      <c r="FG61" s="431"/>
      <c r="FH61" s="431"/>
      <c r="FI61" s="431"/>
      <c r="FJ61" s="431"/>
      <c r="FK61" s="431"/>
      <c r="FL61" s="431"/>
      <c r="FM61" s="431"/>
      <c r="FN61" s="431"/>
      <c r="FO61" s="431"/>
      <c r="FP61" s="431"/>
      <c r="FQ61" s="431"/>
      <c r="FR61" s="431"/>
      <c r="FS61" s="587"/>
    </row>
    <row r="62" spans="1:175" s="511" customFormat="1" ht="26.45" customHeight="1">
      <c r="A62" s="510"/>
      <c r="B62" s="611" t="s">
        <v>443</v>
      </c>
      <c r="C62" s="612" t="s">
        <v>444</v>
      </c>
      <c r="D62" s="613">
        <v>3460000</v>
      </c>
      <c r="F62" s="626">
        <v>45953</v>
      </c>
      <c r="G62" s="512"/>
      <c r="H62" s="150"/>
      <c r="I62" s="302"/>
      <c r="J62" s="150"/>
      <c r="K62" s="690"/>
      <c r="L62" s="150"/>
      <c r="M62" s="492"/>
      <c r="N62" s="685">
        <f>D62</f>
        <v>3460000</v>
      </c>
      <c r="O62" s="513"/>
      <c r="P62" s="493"/>
      <c r="Q62" s="513"/>
      <c r="R62" s="493"/>
      <c r="S62" s="513"/>
      <c r="T62" s="493"/>
      <c r="U62" s="493"/>
      <c r="V62" s="513"/>
      <c r="W62" s="493"/>
      <c r="X62" s="694">
        <f t="shared" si="3"/>
        <v>3460000</v>
      </c>
      <c r="Y62" s="492"/>
      <c r="Z62" s="514"/>
      <c r="AA62" s="492"/>
      <c r="AB62" s="492"/>
      <c r="AC62" s="514"/>
      <c r="AD62" s="492"/>
      <c r="AE62" s="514"/>
      <c r="AF62" s="492"/>
      <c r="AG62" s="514"/>
      <c r="AH62" s="492"/>
      <c r="AI62" s="492"/>
      <c r="AJ62" s="514"/>
      <c r="AK62" s="492"/>
      <c r="AL62" s="514"/>
      <c r="AM62" s="492"/>
      <c r="AN62" s="514"/>
      <c r="AO62" s="492"/>
      <c r="AP62" s="492"/>
      <c r="AQ62" s="514"/>
      <c r="AR62" s="492"/>
      <c r="AS62" s="514"/>
      <c r="AT62" s="492"/>
      <c r="AU62" s="514"/>
      <c r="AV62" s="492"/>
      <c r="AW62" s="492"/>
      <c r="AX62" s="514"/>
      <c r="AY62" s="492"/>
      <c r="AZ62" s="514"/>
      <c r="BA62" s="492"/>
      <c r="BB62" s="514"/>
      <c r="BC62" s="492"/>
      <c r="BD62" s="492"/>
      <c r="BE62" s="514"/>
      <c r="BF62" s="492"/>
      <c r="BG62" s="514"/>
      <c r="BH62" s="492"/>
      <c r="BI62" s="514"/>
      <c r="BJ62" s="492"/>
      <c r="BK62" s="492"/>
      <c r="BL62" s="514"/>
      <c r="BM62" s="492"/>
      <c r="BN62" s="514"/>
      <c r="BO62" s="492"/>
      <c r="BP62" s="514"/>
      <c r="BQ62" s="492"/>
      <c r="BR62" s="492"/>
      <c r="BS62" s="514"/>
      <c r="BT62" s="492"/>
      <c r="BU62" s="514"/>
      <c r="BV62" s="492"/>
      <c r="BW62" s="514"/>
      <c r="BX62" s="492"/>
      <c r="BY62" s="492"/>
      <c r="BZ62" s="514"/>
      <c r="CA62" s="492"/>
      <c r="CB62" s="514"/>
      <c r="CC62" s="492"/>
      <c r="CD62" s="514"/>
      <c r="CE62" s="492"/>
      <c r="CF62" s="492"/>
      <c r="CG62" s="514"/>
      <c r="CH62" s="492"/>
      <c r="CI62" s="514"/>
      <c r="CJ62" s="492"/>
      <c r="CK62" s="586"/>
      <c r="CL62" s="492"/>
      <c r="CM62" s="492"/>
      <c r="CN62" s="514"/>
      <c r="CO62" s="492"/>
      <c r="CP62" s="514"/>
      <c r="CQ62" s="492"/>
      <c r="CR62" s="514"/>
      <c r="CS62" s="492"/>
      <c r="CT62" s="492"/>
      <c r="CU62" s="586"/>
      <c r="CV62" s="431"/>
      <c r="CW62" s="586"/>
      <c r="CX62" s="431"/>
      <c r="CY62" s="586"/>
      <c r="CZ62" s="431"/>
      <c r="DA62" s="431"/>
      <c r="DB62" s="586"/>
      <c r="DC62" s="431"/>
      <c r="DD62" s="586"/>
      <c r="DE62" s="431"/>
      <c r="DF62" s="586"/>
      <c r="DG62" s="431"/>
      <c r="DH62" s="431"/>
      <c r="DI62" s="431"/>
      <c r="DJ62" s="431"/>
      <c r="DK62" s="431"/>
      <c r="DL62" s="431"/>
      <c r="DM62" s="431"/>
      <c r="DN62" s="431"/>
      <c r="DO62" s="431"/>
      <c r="DP62" s="431"/>
      <c r="DQ62" s="431"/>
      <c r="DR62" s="431"/>
      <c r="DS62" s="431"/>
      <c r="DT62" s="431"/>
      <c r="DU62" s="431"/>
      <c r="DV62" s="431"/>
      <c r="DW62" s="431"/>
      <c r="DX62" s="431"/>
      <c r="DY62" s="431"/>
      <c r="DZ62" s="431"/>
      <c r="EA62" s="431"/>
      <c r="EB62" s="431"/>
      <c r="EC62" s="431"/>
      <c r="ED62" s="431"/>
      <c r="EE62" s="431"/>
      <c r="EF62" s="431"/>
      <c r="EG62" s="431"/>
      <c r="EH62" s="431"/>
      <c r="EI62" s="431"/>
      <c r="EJ62" s="431"/>
      <c r="EK62" s="431"/>
      <c r="EL62" s="431"/>
      <c r="EM62" s="431"/>
      <c r="EN62" s="431"/>
      <c r="EO62" s="431"/>
      <c r="EP62" s="431"/>
      <c r="EQ62" s="431"/>
      <c r="ER62" s="431"/>
      <c r="ES62" s="431"/>
      <c r="ET62" s="431"/>
      <c r="EU62" s="431"/>
      <c r="EV62" s="431"/>
      <c r="EW62" s="431"/>
      <c r="EX62" s="431"/>
      <c r="EY62" s="431"/>
      <c r="EZ62" s="431"/>
      <c r="FA62" s="431"/>
      <c r="FB62" s="431"/>
      <c r="FC62" s="431"/>
      <c r="FD62" s="431"/>
      <c r="FE62" s="431"/>
      <c r="FF62" s="431"/>
      <c r="FG62" s="431"/>
      <c r="FH62" s="431"/>
      <c r="FI62" s="431"/>
      <c r="FJ62" s="431"/>
      <c r="FK62" s="431"/>
      <c r="FL62" s="431"/>
      <c r="FM62" s="431"/>
      <c r="FN62" s="431"/>
      <c r="FO62" s="431"/>
      <c r="FP62" s="431"/>
      <c r="FQ62" s="431"/>
      <c r="FR62" s="431"/>
      <c r="FS62" s="587"/>
    </row>
    <row r="63" spans="1:175" s="511" customFormat="1" ht="26.45" customHeight="1">
      <c r="A63" s="510"/>
      <c r="B63" s="614" t="s">
        <v>445</v>
      </c>
      <c r="C63" s="615" t="s">
        <v>446</v>
      </c>
      <c r="D63" s="613">
        <v>281500</v>
      </c>
      <c r="F63" s="626">
        <v>45953</v>
      </c>
      <c r="G63" s="512"/>
      <c r="H63" s="150"/>
      <c r="I63" s="302"/>
      <c r="J63" s="150"/>
      <c r="K63" s="690"/>
      <c r="L63" s="150"/>
      <c r="M63" s="492"/>
      <c r="N63" s="685">
        <f t="shared" ref="N63:N77" si="4">D63</f>
        <v>281500</v>
      </c>
      <c r="O63" s="513"/>
      <c r="P63" s="493"/>
      <c r="Q63" s="513"/>
      <c r="R63" s="493"/>
      <c r="S63" s="513"/>
      <c r="T63" s="493"/>
      <c r="U63" s="493"/>
      <c r="V63" s="513"/>
      <c r="W63" s="493"/>
      <c r="X63" s="694">
        <f t="shared" si="3"/>
        <v>281500</v>
      </c>
      <c r="Y63" s="492"/>
      <c r="Z63" s="514"/>
      <c r="AA63" s="492"/>
      <c r="AB63" s="492"/>
      <c r="AC63" s="514"/>
      <c r="AD63" s="492"/>
      <c r="AE63" s="514"/>
      <c r="AF63" s="492"/>
      <c r="AG63" s="514"/>
      <c r="AH63" s="492"/>
      <c r="AI63" s="492"/>
      <c r="AJ63" s="514"/>
      <c r="AK63" s="492"/>
      <c r="AL63" s="514"/>
      <c r="AM63" s="492"/>
      <c r="AN63" s="514"/>
      <c r="AO63" s="492"/>
      <c r="AP63" s="492"/>
      <c r="AQ63" s="514"/>
      <c r="AR63" s="492"/>
      <c r="AS63" s="514"/>
      <c r="AT63" s="492"/>
      <c r="AU63" s="514"/>
      <c r="AV63" s="492"/>
      <c r="AW63" s="492"/>
      <c r="AX63" s="514"/>
      <c r="AY63" s="492"/>
      <c r="AZ63" s="514"/>
      <c r="BA63" s="492"/>
      <c r="BB63" s="514"/>
      <c r="BC63" s="492"/>
      <c r="BD63" s="492"/>
      <c r="BE63" s="514"/>
      <c r="BF63" s="492"/>
      <c r="BG63" s="514"/>
      <c r="BH63" s="492"/>
      <c r="BI63" s="514"/>
      <c r="BJ63" s="492"/>
      <c r="BK63" s="492"/>
      <c r="BL63" s="514"/>
      <c r="BM63" s="492"/>
      <c r="BN63" s="514"/>
      <c r="BO63" s="492"/>
      <c r="BP63" s="514"/>
      <c r="BQ63" s="492"/>
      <c r="BR63" s="492"/>
      <c r="BS63" s="514"/>
      <c r="BT63" s="492"/>
      <c r="BU63" s="514"/>
      <c r="BV63" s="492"/>
      <c r="BW63" s="514"/>
      <c r="BX63" s="492"/>
      <c r="BY63" s="492"/>
      <c r="BZ63" s="514"/>
      <c r="CA63" s="492"/>
      <c r="CB63" s="514"/>
      <c r="CC63" s="492"/>
      <c r="CD63" s="514"/>
      <c r="CE63" s="492"/>
      <c r="CF63" s="492"/>
      <c r="CG63" s="514"/>
      <c r="CH63" s="492"/>
      <c r="CI63" s="514"/>
      <c r="CJ63" s="492"/>
      <c r="CK63" s="586"/>
      <c r="CL63" s="492"/>
      <c r="CM63" s="492"/>
      <c r="CN63" s="514"/>
      <c r="CO63" s="492"/>
      <c r="CP63" s="514"/>
      <c r="CQ63" s="492"/>
      <c r="CR63" s="514"/>
      <c r="CS63" s="492"/>
      <c r="CT63" s="492"/>
      <c r="CU63" s="586"/>
      <c r="CV63" s="431"/>
      <c r="CW63" s="586"/>
      <c r="CX63" s="431"/>
      <c r="CY63" s="586"/>
      <c r="CZ63" s="431"/>
      <c r="DA63" s="431"/>
      <c r="DB63" s="586"/>
      <c r="DC63" s="431"/>
      <c r="DD63" s="586"/>
      <c r="DE63" s="431"/>
      <c r="DF63" s="586"/>
      <c r="DG63" s="431"/>
      <c r="DH63" s="431"/>
      <c r="DI63" s="431"/>
      <c r="DJ63" s="431"/>
      <c r="DK63" s="431"/>
      <c r="DL63" s="431"/>
      <c r="DM63" s="431"/>
      <c r="DN63" s="431"/>
      <c r="DO63" s="431"/>
      <c r="DP63" s="431"/>
      <c r="DQ63" s="431"/>
      <c r="DR63" s="431"/>
      <c r="DS63" s="431"/>
      <c r="DT63" s="431"/>
      <c r="DU63" s="431"/>
      <c r="DV63" s="431"/>
      <c r="DW63" s="431"/>
      <c r="DX63" s="431"/>
      <c r="DY63" s="431"/>
      <c r="DZ63" s="431"/>
      <c r="EA63" s="431"/>
      <c r="EB63" s="431"/>
      <c r="EC63" s="431"/>
      <c r="ED63" s="431"/>
      <c r="EE63" s="431"/>
      <c r="EF63" s="431"/>
      <c r="EG63" s="431"/>
      <c r="EH63" s="431"/>
      <c r="EI63" s="431"/>
      <c r="EJ63" s="431"/>
      <c r="EK63" s="431"/>
      <c r="EL63" s="431"/>
      <c r="EM63" s="431"/>
      <c r="EN63" s="431"/>
      <c r="EO63" s="431"/>
      <c r="EP63" s="431"/>
      <c r="EQ63" s="431"/>
      <c r="ER63" s="431"/>
      <c r="ES63" s="431"/>
      <c r="ET63" s="431"/>
      <c r="EU63" s="431"/>
      <c r="EV63" s="431"/>
      <c r="EW63" s="431"/>
      <c r="EX63" s="431"/>
      <c r="EY63" s="431"/>
      <c r="EZ63" s="431"/>
      <c r="FA63" s="431"/>
      <c r="FB63" s="431"/>
      <c r="FC63" s="431"/>
      <c r="FD63" s="431"/>
      <c r="FE63" s="431"/>
      <c r="FF63" s="431"/>
      <c r="FG63" s="431"/>
      <c r="FH63" s="431"/>
      <c r="FI63" s="431"/>
      <c r="FJ63" s="431"/>
      <c r="FK63" s="431"/>
      <c r="FL63" s="431"/>
      <c r="FM63" s="431"/>
      <c r="FN63" s="431"/>
      <c r="FO63" s="431"/>
      <c r="FP63" s="431"/>
      <c r="FQ63" s="431"/>
      <c r="FR63" s="431"/>
      <c r="FS63" s="587"/>
    </row>
    <row r="64" spans="1:175" s="511" customFormat="1" ht="26.45" customHeight="1">
      <c r="A64" s="510"/>
      <c r="B64" s="611" t="s">
        <v>447</v>
      </c>
      <c r="C64" s="612" t="s">
        <v>448</v>
      </c>
      <c r="D64" s="613">
        <v>1500000</v>
      </c>
      <c r="F64" s="626">
        <v>45953</v>
      </c>
      <c r="G64" s="512"/>
      <c r="H64" s="150"/>
      <c r="I64" s="302"/>
      <c r="J64" s="150"/>
      <c r="K64" s="690"/>
      <c r="L64" s="150"/>
      <c r="M64" s="492"/>
      <c r="N64" s="685">
        <f t="shared" si="4"/>
        <v>1500000</v>
      </c>
      <c r="O64" s="513"/>
      <c r="P64" s="493"/>
      <c r="Q64" s="513"/>
      <c r="R64" s="493"/>
      <c r="S64" s="513"/>
      <c r="T64" s="493"/>
      <c r="U64" s="493"/>
      <c r="V64" s="513"/>
      <c r="W64" s="493"/>
      <c r="X64" s="694">
        <f t="shared" si="3"/>
        <v>1500000</v>
      </c>
      <c r="Y64" s="492"/>
      <c r="Z64" s="514"/>
      <c r="AA64" s="492"/>
      <c r="AB64" s="492"/>
      <c r="AC64" s="514"/>
      <c r="AD64" s="492"/>
      <c r="AE64" s="514"/>
      <c r="AF64" s="492"/>
      <c r="AG64" s="514"/>
      <c r="AH64" s="492"/>
      <c r="AI64" s="492"/>
      <c r="AJ64" s="514"/>
      <c r="AK64" s="492"/>
      <c r="AL64" s="514"/>
      <c r="AM64" s="492"/>
      <c r="AN64" s="514"/>
      <c r="AO64" s="492"/>
      <c r="AP64" s="492"/>
      <c r="AQ64" s="514"/>
      <c r="AR64" s="492"/>
      <c r="AS64" s="514"/>
      <c r="AT64" s="492"/>
      <c r="AU64" s="514"/>
      <c r="AV64" s="492"/>
      <c r="AW64" s="492"/>
      <c r="AX64" s="514"/>
      <c r="AY64" s="492"/>
      <c r="AZ64" s="514"/>
      <c r="BA64" s="492"/>
      <c r="BB64" s="514"/>
      <c r="BC64" s="492"/>
      <c r="BD64" s="492"/>
      <c r="BE64" s="514"/>
      <c r="BF64" s="492"/>
      <c r="BG64" s="514"/>
      <c r="BH64" s="492"/>
      <c r="BI64" s="514"/>
      <c r="BJ64" s="492"/>
      <c r="BK64" s="492"/>
      <c r="BL64" s="514"/>
      <c r="BM64" s="492"/>
      <c r="BN64" s="514"/>
      <c r="BO64" s="492"/>
      <c r="BP64" s="514"/>
      <c r="BQ64" s="492"/>
      <c r="BR64" s="492"/>
      <c r="BS64" s="514"/>
      <c r="BT64" s="492"/>
      <c r="BU64" s="514"/>
      <c r="BV64" s="492"/>
      <c r="BW64" s="514"/>
      <c r="BX64" s="492"/>
      <c r="BY64" s="492"/>
      <c r="BZ64" s="514"/>
      <c r="CA64" s="492"/>
      <c r="CB64" s="514"/>
      <c r="CC64" s="492"/>
      <c r="CD64" s="514"/>
      <c r="CE64" s="492"/>
      <c r="CF64" s="492"/>
      <c r="CG64" s="514"/>
      <c r="CH64" s="492"/>
      <c r="CI64" s="514"/>
      <c r="CJ64" s="492"/>
      <c r="CK64" s="586"/>
      <c r="CL64" s="492"/>
      <c r="CM64" s="492"/>
      <c r="CN64" s="514"/>
      <c r="CO64" s="492"/>
      <c r="CP64" s="514"/>
      <c r="CQ64" s="492"/>
      <c r="CR64" s="514"/>
      <c r="CS64" s="492"/>
      <c r="CT64" s="492"/>
      <c r="CU64" s="586"/>
      <c r="CV64" s="431"/>
      <c r="CW64" s="586"/>
      <c r="CX64" s="431"/>
      <c r="CY64" s="586"/>
      <c r="CZ64" s="431"/>
      <c r="DA64" s="431"/>
      <c r="DB64" s="586"/>
      <c r="DC64" s="431"/>
      <c r="DD64" s="586"/>
      <c r="DE64" s="431"/>
      <c r="DF64" s="586"/>
      <c r="DG64" s="431"/>
      <c r="DH64" s="431"/>
      <c r="DI64" s="431"/>
      <c r="DJ64" s="431"/>
      <c r="DK64" s="431"/>
      <c r="DL64" s="431"/>
      <c r="DM64" s="431"/>
      <c r="DN64" s="431"/>
      <c r="DO64" s="431"/>
      <c r="DP64" s="431"/>
      <c r="DQ64" s="431"/>
      <c r="DR64" s="431"/>
      <c r="DS64" s="431"/>
      <c r="DT64" s="431"/>
      <c r="DU64" s="431"/>
      <c r="DV64" s="431"/>
      <c r="DW64" s="431"/>
      <c r="DX64" s="431"/>
      <c r="DY64" s="431"/>
      <c r="DZ64" s="431"/>
      <c r="EA64" s="431"/>
      <c r="EB64" s="431"/>
      <c r="EC64" s="431"/>
      <c r="ED64" s="431"/>
      <c r="EE64" s="431"/>
      <c r="EF64" s="431"/>
      <c r="EG64" s="431"/>
      <c r="EH64" s="431"/>
      <c r="EI64" s="431"/>
      <c r="EJ64" s="431"/>
      <c r="EK64" s="431"/>
      <c r="EL64" s="431"/>
      <c r="EM64" s="431"/>
      <c r="EN64" s="431"/>
      <c r="EO64" s="431"/>
      <c r="EP64" s="431"/>
      <c r="EQ64" s="431"/>
      <c r="ER64" s="431"/>
      <c r="ES64" s="431"/>
      <c r="ET64" s="431"/>
      <c r="EU64" s="431"/>
      <c r="EV64" s="431"/>
      <c r="EW64" s="431"/>
      <c r="EX64" s="431"/>
      <c r="EY64" s="431"/>
      <c r="EZ64" s="431"/>
      <c r="FA64" s="431"/>
      <c r="FB64" s="431"/>
      <c r="FC64" s="431"/>
      <c r="FD64" s="431"/>
      <c r="FE64" s="431"/>
      <c r="FF64" s="431"/>
      <c r="FG64" s="431"/>
      <c r="FH64" s="431"/>
      <c r="FI64" s="431"/>
      <c r="FJ64" s="431"/>
      <c r="FK64" s="431"/>
      <c r="FL64" s="431"/>
      <c r="FM64" s="431"/>
      <c r="FN64" s="431"/>
      <c r="FO64" s="431"/>
      <c r="FP64" s="431"/>
      <c r="FQ64" s="431"/>
      <c r="FR64" s="431"/>
      <c r="FS64" s="587"/>
    </row>
    <row r="65" spans="1:175" s="511" customFormat="1" ht="26.45" customHeight="1">
      <c r="A65" s="510"/>
      <c r="B65" s="616" t="s">
        <v>449</v>
      </c>
      <c r="C65" s="612" t="s">
        <v>450</v>
      </c>
      <c r="D65" s="613">
        <v>5000000</v>
      </c>
      <c r="F65" s="626">
        <v>45953</v>
      </c>
      <c r="G65" s="512"/>
      <c r="H65" s="150"/>
      <c r="I65" s="302"/>
      <c r="J65" s="150"/>
      <c r="K65" s="690"/>
      <c r="L65" s="150"/>
      <c r="M65" s="492"/>
      <c r="N65" s="685">
        <f t="shared" si="4"/>
        <v>5000000</v>
      </c>
      <c r="O65" s="513"/>
      <c r="P65" s="493"/>
      <c r="Q65" s="513"/>
      <c r="R65" s="493"/>
      <c r="S65" s="513"/>
      <c r="T65" s="493"/>
      <c r="U65" s="493"/>
      <c r="V65" s="513"/>
      <c r="W65" s="493"/>
      <c r="X65" s="694">
        <f t="shared" si="3"/>
        <v>5000000</v>
      </c>
      <c r="Y65" s="492"/>
      <c r="Z65" s="514"/>
      <c r="AA65" s="492"/>
      <c r="AB65" s="492"/>
      <c r="AC65" s="514"/>
      <c r="AD65" s="492"/>
      <c r="AE65" s="514"/>
      <c r="AF65" s="492"/>
      <c r="AG65" s="514"/>
      <c r="AH65" s="492"/>
      <c r="AI65" s="492"/>
      <c r="AJ65" s="514"/>
      <c r="AK65" s="492"/>
      <c r="AL65" s="514"/>
      <c r="AM65" s="492"/>
      <c r="AN65" s="514"/>
      <c r="AO65" s="492"/>
      <c r="AP65" s="492"/>
      <c r="AQ65" s="514"/>
      <c r="AR65" s="492"/>
      <c r="AS65" s="514"/>
      <c r="AT65" s="492"/>
      <c r="AU65" s="514"/>
      <c r="AV65" s="492"/>
      <c r="AW65" s="492"/>
      <c r="AX65" s="514"/>
      <c r="AY65" s="492"/>
      <c r="AZ65" s="514"/>
      <c r="BA65" s="492"/>
      <c r="BB65" s="514"/>
      <c r="BC65" s="492"/>
      <c r="BD65" s="492"/>
      <c r="BE65" s="514"/>
      <c r="BF65" s="492"/>
      <c r="BG65" s="514"/>
      <c r="BH65" s="492"/>
      <c r="BI65" s="514"/>
      <c r="BJ65" s="492"/>
      <c r="BK65" s="492"/>
      <c r="BL65" s="514"/>
      <c r="BM65" s="492"/>
      <c r="BN65" s="514"/>
      <c r="BO65" s="492"/>
      <c r="BP65" s="514"/>
      <c r="BQ65" s="492"/>
      <c r="BR65" s="492"/>
      <c r="BS65" s="514"/>
      <c r="BT65" s="492"/>
      <c r="BU65" s="514"/>
      <c r="BV65" s="492"/>
      <c r="BW65" s="514"/>
      <c r="BX65" s="492"/>
      <c r="BY65" s="492"/>
      <c r="BZ65" s="514"/>
      <c r="CA65" s="492"/>
      <c r="CB65" s="514"/>
      <c r="CC65" s="492"/>
      <c r="CD65" s="514"/>
      <c r="CE65" s="492"/>
      <c r="CF65" s="492"/>
      <c r="CG65" s="514"/>
      <c r="CH65" s="492"/>
      <c r="CI65" s="514"/>
      <c r="CJ65" s="492"/>
      <c r="CK65" s="586"/>
      <c r="CL65" s="492"/>
      <c r="CM65" s="492"/>
      <c r="CN65" s="514"/>
      <c r="CO65" s="492"/>
      <c r="CP65" s="514"/>
      <c r="CQ65" s="492"/>
      <c r="CR65" s="514"/>
      <c r="CS65" s="492"/>
      <c r="CT65" s="492"/>
      <c r="CU65" s="586"/>
      <c r="CV65" s="431"/>
      <c r="CW65" s="586"/>
      <c r="CX65" s="431"/>
      <c r="CY65" s="586"/>
      <c r="CZ65" s="431"/>
      <c r="DA65" s="431"/>
      <c r="DB65" s="586"/>
      <c r="DC65" s="431"/>
      <c r="DD65" s="586"/>
      <c r="DE65" s="431"/>
      <c r="DF65" s="586"/>
      <c r="DG65" s="431"/>
      <c r="DH65" s="431"/>
      <c r="DI65" s="431"/>
      <c r="DJ65" s="431"/>
      <c r="DK65" s="431"/>
      <c r="DL65" s="431"/>
      <c r="DM65" s="431"/>
      <c r="DN65" s="431"/>
      <c r="DO65" s="431"/>
      <c r="DP65" s="431"/>
      <c r="DQ65" s="431"/>
      <c r="DR65" s="431"/>
      <c r="DS65" s="431"/>
      <c r="DT65" s="431"/>
      <c r="DU65" s="431"/>
      <c r="DV65" s="431"/>
      <c r="DW65" s="431"/>
      <c r="DX65" s="431"/>
      <c r="DY65" s="431"/>
      <c r="DZ65" s="431"/>
      <c r="EA65" s="431"/>
      <c r="EB65" s="431"/>
      <c r="EC65" s="431"/>
      <c r="ED65" s="431"/>
      <c r="EE65" s="431"/>
      <c r="EF65" s="431"/>
      <c r="EG65" s="431"/>
      <c r="EH65" s="431"/>
      <c r="EI65" s="431"/>
      <c r="EJ65" s="431"/>
      <c r="EK65" s="431"/>
      <c r="EL65" s="431"/>
      <c r="EM65" s="431"/>
      <c r="EN65" s="431"/>
      <c r="EO65" s="431"/>
      <c r="EP65" s="431"/>
      <c r="EQ65" s="431"/>
      <c r="ER65" s="431"/>
      <c r="ES65" s="431"/>
      <c r="ET65" s="431"/>
      <c r="EU65" s="431"/>
      <c r="EV65" s="431"/>
      <c r="EW65" s="431"/>
      <c r="EX65" s="431"/>
      <c r="EY65" s="431"/>
      <c r="EZ65" s="431"/>
      <c r="FA65" s="431"/>
      <c r="FB65" s="431"/>
      <c r="FC65" s="431"/>
      <c r="FD65" s="431"/>
      <c r="FE65" s="431"/>
      <c r="FF65" s="431"/>
      <c r="FG65" s="431"/>
      <c r="FH65" s="431"/>
      <c r="FI65" s="431"/>
      <c r="FJ65" s="431"/>
      <c r="FK65" s="431"/>
      <c r="FL65" s="431"/>
      <c r="FM65" s="431"/>
      <c r="FN65" s="431"/>
      <c r="FO65" s="431"/>
      <c r="FP65" s="431"/>
      <c r="FQ65" s="431"/>
      <c r="FR65" s="431"/>
      <c r="FS65" s="587"/>
    </row>
    <row r="66" spans="1:175" s="511" customFormat="1" ht="26.45" customHeight="1">
      <c r="A66" s="510"/>
      <c r="B66" s="616" t="s">
        <v>451</v>
      </c>
      <c r="C66" s="695" t="s">
        <v>452</v>
      </c>
      <c r="D66" s="677">
        <v>5850000</v>
      </c>
      <c r="F66" s="626">
        <v>45953</v>
      </c>
      <c r="G66" s="512"/>
      <c r="H66" s="150"/>
      <c r="I66" s="302"/>
      <c r="J66" s="150"/>
      <c r="K66" s="690"/>
      <c r="L66" s="150"/>
      <c r="M66" s="492"/>
      <c r="N66" s="685">
        <f t="shared" si="4"/>
        <v>5850000</v>
      </c>
      <c r="O66" s="513"/>
      <c r="P66" s="493"/>
      <c r="Q66" s="513"/>
      <c r="R66" s="493"/>
      <c r="S66" s="513"/>
      <c r="T66" s="493"/>
      <c r="U66" s="493"/>
      <c r="V66" s="513"/>
      <c r="W66" s="493"/>
      <c r="X66" s="694">
        <f t="shared" si="3"/>
        <v>5850000</v>
      </c>
      <c r="Y66" s="492"/>
      <c r="Z66" s="514"/>
      <c r="AA66" s="492"/>
      <c r="AB66" s="492"/>
      <c r="AC66" s="514"/>
      <c r="AD66" s="492"/>
      <c r="AE66" s="514"/>
      <c r="AF66" s="492"/>
      <c r="AG66" s="514"/>
      <c r="AH66" s="492"/>
      <c r="AI66" s="492"/>
      <c r="AJ66" s="514"/>
      <c r="AK66" s="492"/>
      <c r="AL66" s="514"/>
      <c r="AM66" s="492"/>
      <c r="AN66" s="514"/>
      <c r="AO66" s="492"/>
      <c r="AP66" s="492"/>
      <c r="AQ66" s="514"/>
      <c r="AR66" s="492"/>
      <c r="AS66" s="514"/>
      <c r="AT66" s="492"/>
      <c r="AU66" s="514"/>
      <c r="AV66" s="492"/>
      <c r="AW66" s="492"/>
      <c r="AX66" s="514"/>
      <c r="AY66" s="492"/>
      <c r="AZ66" s="514"/>
      <c r="BA66" s="492"/>
      <c r="BB66" s="514"/>
      <c r="BC66" s="492"/>
      <c r="BD66" s="492"/>
      <c r="BE66" s="514"/>
      <c r="BF66" s="492"/>
      <c r="BG66" s="514"/>
      <c r="BH66" s="492"/>
      <c r="BI66" s="514"/>
      <c r="BJ66" s="492"/>
      <c r="BK66" s="492"/>
      <c r="BL66" s="514"/>
      <c r="BM66" s="492"/>
      <c r="BN66" s="514"/>
      <c r="BO66" s="492"/>
      <c r="BP66" s="514"/>
      <c r="BQ66" s="492"/>
      <c r="BR66" s="492"/>
      <c r="BS66" s="514"/>
      <c r="BT66" s="492"/>
      <c r="BU66" s="514"/>
      <c r="BV66" s="492"/>
      <c r="BW66" s="514"/>
      <c r="BX66" s="492"/>
      <c r="BY66" s="492"/>
      <c r="BZ66" s="514"/>
      <c r="CA66" s="492"/>
      <c r="CB66" s="514"/>
      <c r="CC66" s="492"/>
      <c r="CD66" s="514"/>
      <c r="CE66" s="492"/>
      <c r="CF66" s="492"/>
      <c r="CG66" s="514"/>
      <c r="CH66" s="492"/>
      <c r="CI66" s="514"/>
      <c r="CJ66" s="492"/>
      <c r="CK66" s="586"/>
      <c r="CL66" s="492"/>
      <c r="CM66" s="492"/>
      <c r="CN66" s="514"/>
      <c r="CO66" s="492"/>
      <c r="CP66" s="514"/>
      <c r="CQ66" s="492"/>
      <c r="CR66" s="514"/>
      <c r="CS66" s="492"/>
      <c r="CT66" s="492"/>
      <c r="CU66" s="586"/>
      <c r="CV66" s="431"/>
      <c r="CW66" s="586"/>
      <c r="CX66" s="431"/>
      <c r="CY66" s="586"/>
      <c r="CZ66" s="431"/>
      <c r="DA66" s="431"/>
      <c r="DB66" s="586"/>
      <c r="DC66" s="431"/>
      <c r="DD66" s="586"/>
      <c r="DE66" s="431"/>
      <c r="DF66" s="586"/>
      <c r="DG66" s="431"/>
      <c r="DH66" s="431"/>
      <c r="DI66" s="431"/>
      <c r="DJ66" s="431"/>
      <c r="DK66" s="431"/>
      <c r="DL66" s="431"/>
      <c r="DM66" s="431"/>
      <c r="DN66" s="431"/>
      <c r="DO66" s="431"/>
      <c r="DP66" s="431"/>
      <c r="DQ66" s="431"/>
      <c r="DR66" s="431"/>
      <c r="DS66" s="431"/>
      <c r="DT66" s="431"/>
      <c r="DU66" s="431"/>
      <c r="DV66" s="431"/>
      <c r="DW66" s="431"/>
      <c r="DX66" s="431"/>
      <c r="DY66" s="431"/>
      <c r="DZ66" s="431"/>
      <c r="EA66" s="431"/>
      <c r="EB66" s="431"/>
      <c r="EC66" s="431"/>
      <c r="ED66" s="431"/>
      <c r="EE66" s="431"/>
      <c r="EF66" s="431"/>
      <c r="EG66" s="431"/>
      <c r="EH66" s="431"/>
      <c r="EI66" s="431"/>
      <c r="EJ66" s="431"/>
      <c r="EK66" s="431"/>
      <c r="EL66" s="431"/>
      <c r="EM66" s="431"/>
      <c r="EN66" s="431"/>
      <c r="EO66" s="431"/>
      <c r="EP66" s="431"/>
      <c r="EQ66" s="431"/>
      <c r="ER66" s="431"/>
      <c r="ES66" s="431"/>
      <c r="ET66" s="431"/>
      <c r="EU66" s="431"/>
      <c r="EV66" s="431"/>
      <c r="EW66" s="431"/>
      <c r="EX66" s="431"/>
      <c r="EY66" s="431"/>
      <c r="EZ66" s="431"/>
      <c r="FA66" s="431"/>
      <c r="FB66" s="431"/>
      <c r="FC66" s="431"/>
      <c r="FD66" s="431"/>
      <c r="FE66" s="431"/>
      <c r="FF66" s="431"/>
      <c r="FG66" s="431"/>
      <c r="FH66" s="431"/>
      <c r="FI66" s="431"/>
      <c r="FJ66" s="431"/>
      <c r="FK66" s="431"/>
      <c r="FL66" s="431"/>
      <c r="FM66" s="431"/>
      <c r="FN66" s="431"/>
      <c r="FO66" s="431"/>
      <c r="FP66" s="431"/>
      <c r="FQ66" s="431"/>
      <c r="FR66" s="431"/>
      <c r="FS66" s="587"/>
    </row>
    <row r="67" spans="1:175" s="511" customFormat="1" ht="26.45" customHeight="1">
      <c r="A67" s="510"/>
      <c r="B67" s="508" t="s">
        <v>453</v>
      </c>
      <c r="C67" s="696" t="s">
        <v>454</v>
      </c>
      <c r="D67" s="678">
        <v>550000</v>
      </c>
      <c r="F67" s="626">
        <v>45953</v>
      </c>
      <c r="G67" s="512"/>
      <c r="H67" s="150"/>
      <c r="I67" s="302"/>
      <c r="J67" s="150"/>
      <c r="K67" s="690"/>
      <c r="L67" s="150"/>
      <c r="M67" s="492"/>
      <c r="N67" s="685">
        <f t="shared" si="4"/>
        <v>550000</v>
      </c>
      <c r="O67" s="513"/>
      <c r="P67" s="493"/>
      <c r="Q67" s="513"/>
      <c r="R67" s="493"/>
      <c r="S67" s="513"/>
      <c r="T67" s="493"/>
      <c r="U67" s="493"/>
      <c r="V67" s="513"/>
      <c r="W67" s="493"/>
      <c r="X67" s="694">
        <f t="shared" si="3"/>
        <v>550000</v>
      </c>
      <c r="Y67" s="492"/>
      <c r="Z67" s="514"/>
      <c r="AA67" s="492"/>
      <c r="AB67" s="492"/>
      <c r="AC67" s="514"/>
      <c r="AD67" s="492"/>
      <c r="AE67" s="514"/>
      <c r="AF67" s="492"/>
      <c r="AG67" s="514"/>
      <c r="AH67" s="492"/>
      <c r="AI67" s="492"/>
      <c r="AJ67" s="514"/>
      <c r="AK67" s="492"/>
      <c r="AL67" s="514"/>
      <c r="AM67" s="492"/>
      <c r="AN67" s="514"/>
      <c r="AO67" s="492"/>
      <c r="AP67" s="492"/>
      <c r="AQ67" s="514"/>
      <c r="AR67" s="492"/>
      <c r="AS67" s="514"/>
      <c r="AT67" s="492"/>
      <c r="AU67" s="514"/>
      <c r="AV67" s="492"/>
      <c r="AW67" s="492"/>
      <c r="AX67" s="514"/>
      <c r="AY67" s="492"/>
      <c r="AZ67" s="514"/>
      <c r="BA67" s="492"/>
      <c r="BB67" s="514"/>
      <c r="BC67" s="492"/>
      <c r="BD67" s="492"/>
      <c r="BE67" s="514"/>
      <c r="BF67" s="492"/>
      <c r="BG67" s="514"/>
      <c r="BH67" s="492"/>
      <c r="BI67" s="514"/>
      <c r="BJ67" s="492"/>
      <c r="BK67" s="492"/>
      <c r="BL67" s="514"/>
      <c r="BM67" s="492"/>
      <c r="BN67" s="514"/>
      <c r="BO67" s="492"/>
      <c r="BP67" s="514"/>
      <c r="BQ67" s="492"/>
      <c r="BR67" s="492"/>
      <c r="BS67" s="514"/>
      <c r="BT67" s="492"/>
      <c r="BU67" s="514"/>
      <c r="BV67" s="492"/>
      <c r="BW67" s="514"/>
      <c r="BX67" s="492"/>
      <c r="BY67" s="492"/>
      <c r="BZ67" s="514"/>
      <c r="CA67" s="492"/>
      <c r="CB67" s="514"/>
      <c r="CC67" s="492"/>
      <c r="CD67" s="514"/>
      <c r="CE67" s="492"/>
      <c r="CF67" s="492"/>
      <c r="CG67" s="514"/>
      <c r="CH67" s="492"/>
      <c r="CI67" s="514"/>
      <c r="CJ67" s="492"/>
      <c r="CK67" s="586"/>
      <c r="CL67" s="492"/>
      <c r="CM67" s="492"/>
      <c r="CN67" s="514"/>
      <c r="CO67" s="492"/>
      <c r="CP67" s="514"/>
      <c r="CQ67" s="492"/>
      <c r="CR67" s="514"/>
      <c r="CS67" s="492"/>
      <c r="CT67" s="492"/>
      <c r="CU67" s="586"/>
      <c r="CV67" s="431"/>
      <c r="CW67" s="586"/>
      <c r="CX67" s="431"/>
      <c r="CY67" s="586"/>
      <c r="CZ67" s="431"/>
      <c r="DA67" s="431"/>
      <c r="DB67" s="586"/>
      <c r="DC67" s="431"/>
      <c r="DD67" s="586"/>
      <c r="DE67" s="431"/>
      <c r="DF67" s="586"/>
      <c r="DG67" s="431"/>
      <c r="DH67" s="431"/>
      <c r="DI67" s="431"/>
      <c r="DJ67" s="431"/>
      <c r="DK67" s="431"/>
      <c r="DL67" s="431"/>
      <c r="DM67" s="431"/>
      <c r="DN67" s="431"/>
      <c r="DO67" s="431"/>
      <c r="DP67" s="431"/>
      <c r="DQ67" s="431"/>
      <c r="DR67" s="431"/>
      <c r="DS67" s="431"/>
      <c r="DT67" s="431"/>
      <c r="DU67" s="431"/>
      <c r="DV67" s="431"/>
      <c r="DW67" s="431"/>
      <c r="DX67" s="431"/>
      <c r="DY67" s="431"/>
      <c r="DZ67" s="431"/>
      <c r="EA67" s="431"/>
      <c r="EB67" s="431"/>
      <c r="EC67" s="431"/>
      <c r="ED67" s="431"/>
      <c r="EE67" s="431"/>
      <c r="EF67" s="431"/>
      <c r="EG67" s="431"/>
      <c r="EH67" s="431"/>
      <c r="EI67" s="431"/>
      <c r="EJ67" s="431"/>
      <c r="EK67" s="431"/>
      <c r="EL67" s="431"/>
      <c r="EM67" s="431"/>
      <c r="EN67" s="431"/>
      <c r="EO67" s="431"/>
      <c r="EP67" s="431"/>
      <c r="EQ67" s="431"/>
      <c r="ER67" s="431"/>
      <c r="ES67" s="431"/>
      <c r="ET67" s="431"/>
      <c r="EU67" s="431"/>
      <c r="EV67" s="431"/>
      <c r="EW67" s="431"/>
      <c r="EX67" s="431"/>
      <c r="EY67" s="431"/>
      <c r="EZ67" s="431"/>
      <c r="FA67" s="431"/>
      <c r="FB67" s="431"/>
      <c r="FC67" s="431"/>
      <c r="FD67" s="431"/>
      <c r="FE67" s="431"/>
      <c r="FF67" s="431"/>
      <c r="FG67" s="431"/>
      <c r="FH67" s="431"/>
      <c r="FI67" s="431"/>
      <c r="FJ67" s="431"/>
      <c r="FK67" s="431"/>
      <c r="FL67" s="431"/>
      <c r="FM67" s="431"/>
      <c r="FN67" s="431"/>
      <c r="FO67" s="431"/>
      <c r="FP67" s="431"/>
      <c r="FQ67" s="431"/>
      <c r="FR67" s="431"/>
      <c r="FS67" s="587"/>
    </row>
    <row r="68" spans="1:175" s="511" customFormat="1" ht="26.45" customHeight="1">
      <c r="A68" s="510"/>
      <c r="B68" s="616" t="s">
        <v>401</v>
      </c>
      <c r="C68" s="616" t="s">
        <v>455</v>
      </c>
      <c r="D68" s="693">
        <v>2981000</v>
      </c>
      <c r="F68" s="626">
        <v>45953</v>
      </c>
      <c r="G68" s="512"/>
      <c r="H68" s="150"/>
      <c r="I68" s="302"/>
      <c r="J68" s="150"/>
      <c r="K68" s="690"/>
      <c r="L68" s="150"/>
      <c r="M68" s="492"/>
      <c r="N68" s="685">
        <f t="shared" si="4"/>
        <v>2981000</v>
      </c>
      <c r="O68" s="513"/>
      <c r="P68" s="493"/>
      <c r="Q68" s="513"/>
      <c r="R68" s="493"/>
      <c r="S68" s="513"/>
      <c r="T68" s="493"/>
      <c r="U68" s="493"/>
      <c r="V68" s="513"/>
      <c r="W68" s="493"/>
      <c r="X68" s="694">
        <f t="shared" si="3"/>
        <v>2981000</v>
      </c>
      <c r="Y68" s="492"/>
      <c r="Z68" s="514"/>
      <c r="AA68" s="492"/>
      <c r="AB68" s="492"/>
      <c r="AC68" s="514"/>
      <c r="AD68" s="492"/>
      <c r="AE68" s="514"/>
      <c r="AF68" s="492"/>
      <c r="AG68" s="514"/>
      <c r="AH68" s="492"/>
      <c r="AI68" s="492"/>
      <c r="AJ68" s="514"/>
      <c r="AK68" s="492"/>
      <c r="AL68" s="514"/>
      <c r="AM68" s="492"/>
      <c r="AN68" s="514"/>
      <c r="AO68" s="492"/>
      <c r="AP68" s="492"/>
      <c r="AQ68" s="514"/>
      <c r="AR68" s="492"/>
      <c r="AS68" s="514"/>
      <c r="AT68" s="492"/>
      <c r="AU68" s="514"/>
      <c r="AV68" s="492"/>
      <c r="AW68" s="492"/>
      <c r="AX68" s="514"/>
      <c r="AY68" s="492"/>
      <c r="AZ68" s="514"/>
      <c r="BA68" s="492"/>
      <c r="BB68" s="514"/>
      <c r="BC68" s="492"/>
      <c r="BD68" s="492"/>
      <c r="BE68" s="514"/>
      <c r="BF68" s="492"/>
      <c r="BG68" s="514"/>
      <c r="BH68" s="492"/>
      <c r="BI68" s="514"/>
      <c r="BJ68" s="492"/>
      <c r="BK68" s="492"/>
      <c r="BL68" s="514"/>
      <c r="BM68" s="492"/>
      <c r="BN68" s="514"/>
      <c r="BO68" s="492"/>
      <c r="BP68" s="514"/>
      <c r="BQ68" s="492"/>
      <c r="BR68" s="492"/>
      <c r="BS68" s="514"/>
      <c r="BT68" s="492"/>
      <c r="BU68" s="514"/>
      <c r="BV68" s="492"/>
      <c r="BW68" s="514"/>
      <c r="BX68" s="492"/>
      <c r="BY68" s="492"/>
      <c r="BZ68" s="514"/>
      <c r="CA68" s="492"/>
      <c r="CB68" s="514"/>
      <c r="CC68" s="492"/>
      <c r="CD68" s="514"/>
      <c r="CE68" s="492"/>
      <c r="CF68" s="492"/>
      <c r="CG68" s="514"/>
      <c r="CH68" s="492"/>
      <c r="CI68" s="514"/>
      <c r="CJ68" s="492"/>
      <c r="CK68" s="586"/>
      <c r="CL68" s="492"/>
      <c r="CM68" s="492"/>
      <c r="CN68" s="514"/>
      <c r="CO68" s="492"/>
      <c r="CP68" s="514"/>
      <c r="CQ68" s="492"/>
      <c r="CR68" s="514"/>
      <c r="CS68" s="492"/>
      <c r="CT68" s="492"/>
      <c r="CU68" s="586"/>
      <c r="CV68" s="431"/>
      <c r="CW68" s="586"/>
      <c r="CX68" s="431"/>
      <c r="CY68" s="586"/>
      <c r="CZ68" s="431"/>
      <c r="DA68" s="431"/>
      <c r="DB68" s="586"/>
      <c r="DC68" s="431"/>
      <c r="DD68" s="586"/>
      <c r="DE68" s="431"/>
      <c r="DF68" s="586"/>
      <c r="DG68" s="431"/>
      <c r="DH68" s="431"/>
      <c r="DI68" s="431"/>
      <c r="DJ68" s="431"/>
      <c r="DK68" s="431"/>
      <c r="DL68" s="431"/>
      <c r="DM68" s="431"/>
      <c r="DN68" s="431"/>
      <c r="DO68" s="431"/>
      <c r="DP68" s="431"/>
      <c r="DQ68" s="431"/>
      <c r="DR68" s="431"/>
      <c r="DS68" s="431"/>
      <c r="DT68" s="431"/>
      <c r="DU68" s="431"/>
      <c r="DV68" s="431"/>
      <c r="DW68" s="431"/>
      <c r="DX68" s="431"/>
      <c r="DY68" s="431"/>
      <c r="DZ68" s="431"/>
      <c r="EA68" s="431"/>
      <c r="EB68" s="431"/>
      <c r="EC68" s="431"/>
      <c r="ED68" s="431"/>
      <c r="EE68" s="431"/>
      <c r="EF68" s="431"/>
      <c r="EG68" s="431"/>
      <c r="EH68" s="431"/>
      <c r="EI68" s="431"/>
      <c r="EJ68" s="431"/>
      <c r="EK68" s="431"/>
      <c r="EL68" s="431"/>
      <c r="EM68" s="431"/>
      <c r="EN68" s="431"/>
      <c r="EO68" s="431"/>
      <c r="EP68" s="431"/>
      <c r="EQ68" s="431"/>
      <c r="ER68" s="431"/>
      <c r="ES68" s="431"/>
      <c r="ET68" s="431"/>
      <c r="EU68" s="431"/>
      <c r="EV68" s="431"/>
      <c r="EW68" s="431"/>
      <c r="EX68" s="431"/>
      <c r="EY68" s="431"/>
      <c r="EZ68" s="431"/>
      <c r="FA68" s="431"/>
      <c r="FB68" s="431"/>
      <c r="FC68" s="431"/>
      <c r="FD68" s="431"/>
      <c r="FE68" s="431"/>
      <c r="FF68" s="431"/>
      <c r="FG68" s="431"/>
      <c r="FH68" s="431"/>
      <c r="FI68" s="431"/>
      <c r="FJ68" s="431"/>
      <c r="FK68" s="431"/>
      <c r="FL68" s="431"/>
      <c r="FM68" s="431"/>
      <c r="FN68" s="431"/>
      <c r="FO68" s="431"/>
      <c r="FP68" s="431"/>
      <c r="FQ68" s="431"/>
      <c r="FR68" s="431"/>
      <c r="FS68" s="587"/>
    </row>
    <row r="69" spans="1:175" s="511" customFormat="1" ht="26.45" customHeight="1">
      <c r="A69" s="510"/>
      <c r="B69" s="616" t="s">
        <v>401</v>
      </c>
      <c r="C69" s="615" t="s">
        <v>456</v>
      </c>
      <c r="D69" s="613">
        <v>889500</v>
      </c>
      <c r="F69" s="626">
        <v>45953</v>
      </c>
      <c r="G69" s="512"/>
      <c r="H69" s="150"/>
      <c r="I69" s="302"/>
      <c r="J69" s="150"/>
      <c r="K69" s="690"/>
      <c r="L69" s="150"/>
      <c r="M69" s="492"/>
      <c r="N69" s="685">
        <f t="shared" si="4"/>
        <v>889500</v>
      </c>
      <c r="O69" s="513"/>
      <c r="P69" s="493"/>
      <c r="Q69" s="513"/>
      <c r="R69" s="493"/>
      <c r="S69" s="513"/>
      <c r="T69" s="493"/>
      <c r="U69" s="493"/>
      <c r="V69" s="513"/>
      <c r="W69" s="493"/>
      <c r="X69" s="694">
        <f t="shared" si="3"/>
        <v>889500</v>
      </c>
      <c r="Y69" s="492"/>
      <c r="Z69" s="514"/>
      <c r="AA69" s="492"/>
      <c r="AB69" s="492"/>
      <c r="AC69" s="514"/>
      <c r="AD69" s="492"/>
      <c r="AE69" s="514"/>
      <c r="AF69" s="492"/>
      <c r="AG69" s="514"/>
      <c r="AH69" s="492"/>
      <c r="AI69" s="492"/>
      <c r="AJ69" s="514"/>
      <c r="AK69" s="492"/>
      <c r="AL69" s="514"/>
      <c r="AM69" s="492"/>
      <c r="AN69" s="514"/>
      <c r="AO69" s="492"/>
      <c r="AP69" s="492"/>
      <c r="AQ69" s="514"/>
      <c r="AR69" s="492"/>
      <c r="AS69" s="514"/>
      <c r="AT69" s="492"/>
      <c r="AU69" s="514"/>
      <c r="AV69" s="492"/>
      <c r="AW69" s="492"/>
      <c r="AX69" s="514"/>
      <c r="AY69" s="492"/>
      <c r="AZ69" s="514"/>
      <c r="BA69" s="492"/>
      <c r="BB69" s="514"/>
      <c r="BC69" s="492"/>
      <c r="BD69" s="492"/>
      <c r="BE69" s="514"/>
      <c r="BF69" s="492"/>
      <c r="BG69" s="514"/>
      <c r="BH69" s="492"/>
      <c r="BI69" s="514"/>
      <c r="BJ69" s="492"/>
      <c r="BK69" s="492"/>
      <c r="BL69" s="514"/>
      <c r="BM69" s="492"/>
      <c r="BN69" s="514"/>
      <c r="BO69" s="492"/>
      <c r="BP69" s="514"/>
      <c r="BQ69" s="492"/>
      <c r="BR69" s="492"/>
      <c r="BS69" s="514"/>
      <c r="BT69" s="492"/>
      <c r="BU69" s="514"/>
      <c r="BV69" s="492"/>
      <c r="BW69" s="514"/>
      <c r="BX69" s="492"/>
      <c r="BY69" s="492"/>
      <c r="BZ69" s="514"/>
      <c r="CA69" s="492"/>
      <c r="CB69" s="514"/>
      <c r="CC69" s="492"/>
      <c r="CD69" s="514"/>
      <c r="CE69" s="492"/>
      <c r="CF69" s="492"/>
      <c r="CG69" s="514"/>
      <c r="CH69" s="492"/>
      <c r="CI69" s="514"/>
      <c r="CJ69" s="492"/>
      <c r="CK69" s="586"/>
      <c r="CL69" s="492"/>
      <c r="CM69" s="492"/>
      <c r="CN69" s="514"/>
      <c r="CO69" s="492"/>
      <c r="CP69" s="514"/>
      <c r="CQ69" s="492"/>
      <c r="CR69" s="514"/>
      <c r="CS69" s="492"/>
      <c r="CT69" s="492"/>
      <c r="CU69" s="586"/>
      <c r="CV69" s="431"/>
      <c r="CW69" s="586"/>
      <c r="CX69" s="431"/>
      <c r="CY69" s="586"/>
      <c r="CZ69" s="431"/>
      <c r="DA69" s="431"/>
      <c r="DB69" s="586"/>
      <c r="DC69" s="431"/>
      <c r="DD69" s="586"/>
      <c r="DE69" s="431"/>
      <c r="DF69" s="586"/>
      <c r="DG69" s="431"/>
      <c r="DH69" s="431"/>
      <c r="DI69" s="431"/>
      <c r="DJ69" s="431"/>
      <c r="DK69" s="431"/>
      <c r="DL69" s="431"/>
      <c r="DM69" s="431"/>
      <c r="DN69" s="431"/>
      <c r="DO69" s="431"/>
      <c r="DP69" s="431"/>
      <c r="DQ69" s="431"/>
      <c r="DR69" s="431"/>
      <c r="DS69" s="431"/>
      <c r="DT69" s="431"/>
      <c r="DU69" s="431"/>
      <c r="DV69" s="431"/>
      <c r="DW69" s="431"/>
      <c r="DX69" s="431"/>
      <c r="DY69" s="431"/>
      <c r="DZ69" s="431"/>
      <c r="EA69" s="431"/>
      <c r="EB69" s="431"/>
      <c r="EC69" s="431"/>
      <c r="ED69" s="431"/>
      <c r="EE69" s="431"/>
      <c r="EF69" s="431"/>
      <c r="EG69" s="431"/>
      <c r="EH69" s="431"/>
      <c r="EI69" s="431"/>
      <c r="EJ69" s="431"/>
      <c r="EK69" s="431"/>
      <c r="EL69" s="431"/>
      <c r="EM69" s="431"/>
      <c r="EN69" s="431"/>
      <c r="EO69" s="431"/>
      <c r="EP69" s="431"/>
      <c r="EQ69" s="431"/>
      <c r="ER69" s="431"/>
      <c r="ES69" s="431"/>
      <c r="ET69" s="431"/>
      <c r="EU69" s="431"/>
      <c r="EV69" s="431"/>
      <c r="EW69" s="431"/>
      <c r="EX69" s="431"/>
      <c r="EY69" s="431"/>
      <c r="EZ69" s="431"/>
      <c r="FA69" s="431"/>
      <c r="FB69" s="431"/>
      <c r="FC69" s="431"/>
      <c r="FD69" s="431"/>
      <c r="FE69" s="431"/>
      <c r="FF69" s="431"/>
      <c r="FG69" s="431"/>
      <c r="FH69" s="431"/>
      <c r="FI69" s="431"/>
      <c r="FJ69" s="431"/>
      <c r="FK69" s="431"/>
      <c r="FL69" s="431"/>
      <c r="FM69" s="431"/>
      <c r="FN69" s="431"/>
      <c r="FO69" s="431"/>
      <c r="FP69" s="431"/>
      <c r="FQ69" s="431"/>
      <c r="FR69" s="431"/>
      <c r="FS69" s="587"/>
    </row>
    <row r="70" spans="1:175" s="511" customFormat="1" ht="26.45" customHeight="1">
      <c r="A70" s="510"/>
      <c r="B70" s="616" t="s">
        <v>373</v>
      </c>
      <c r="C70" s="615" t="s">
        <v>457</v>
      </c>
      <c r="D70" s="613">
        <v>15435000</v>
      </c>
      <c r="F70" s="626">
        <v>45953</v>
      </c>
      <c r="G70" s="512"/>
      <c r="H70" s="150"/>
      <c r="I70" s="302"/>
      <c r="J70" s="150"/>
      <c r="K70" s="690"/>
      <c r="L70" s="150"/>
      <c r="M70" s="492"/>
      <c r="N70" s="685">
        <f t="shared" si="4"/>
        <v>15435000</v>
      </c>
      <c r="O70" s="513"/>
      <c r="P70" s="493"/>
      <c r="Q70" s="513"/>
      <c r="R70" s="493"/>
      <c r="S70" s="513"/>
      <c r="T70" s="493"/>
      <c r="U70" s="493"/>
      <c r="V70" s="513"/>
      <c r="W70" s="493"/>
      <c r="X70" s="694">
        <f t="shared" si="3"/>
        <v>15435000</v>
      </c>
      <c r="Y70" s="492"/>
      <c r="Z70" s="514"/>
      <c r="AA70" s="492"/>
      <c r="AB70" s="492"/>
      <c r="AC70" s="514"/>
      <c r="AD70" s="492"/>
      <c r="AE70" s="514"/>
      <c r="AF70" s="492"/>
      <c r="AG70" s="514"/>
      <c r="AH70" s="492"/>
      <c r="AI70" s="492"/>
      <c r="AJ70" s="514"/>
      <c r="AK70" s="492"/>
      <c r="AL70" s="514"/>
      <c r="AM70" s="492"/>
      <c r="AN70" s="514"/>
      <c r="AO70" s="492"/>
      <c r="AP70" s="492"/>
      <c r="AQ70" s="514"/>
      <c r="AR70" s="492"/>
      <c r="AS70" s="514"/>
      <c r="AT70" s="492"/>
      <c r="AU70" s="514"/>
      <c r="AV70" s="492"/>
      <c r="AW70" s="492"/>
      <c r="AX70" s="514"/>
      <c r="AY70" s="492"/>
      <c r="AZ70" s="514"/>
      <c r="BA70" s="492"/>
      <c r="BB70" s="514"/>
      <c r="BC70" s="492"/>
      <c r="BD70" s="492"/>
      <c r="BE70" s="514"/>
      <c r="BF70" s="492"/>
      <c r="BG70" s="514"/>
      <c r="BH70" s="492"/>
      <c r="BI70" s="514"/>
      <c r="BJ70" s="492"/>
      <c r="BK70" s="492"/>
      <c r="BL70" s="514"/>
      <c r="BM70" s="492"/>
      <c r="BN70" s="514"/>
      <c r="BO70" s="492"/>
      <c r="BP70" s="514"/>
      <c r="BQ70" s="492"/>
      <c r="BR70" s="492"/>
      <c r="BS70" s="514"/>
      <c r="BT70" s="492"/>
      <c r="BU70" s="514"/>
      <c r="BV70" s="492"/>
      <c r="BW70" s="514"/>
      <c r="BX70" s="492"/>
      <c r="BY70" s="492"/>
      <c r="BZ70" s="514"/>
      <c r="CA70" s="492"/>
      <c r="CB70" s="514"/>
      <c r="CC70" s="492"/>
      <c r="CD70" s="514"/>
      <c r="CE70" s="492"/>
      <c r="CF70" s="492"/>
      <c r="CG70" s="514"/>
      <c r="CH70" s="492"/>
      <c r="CI70" s="514"/>
      <c r="CJ70" s="492"/>
      <c r="CK70" s="586"/>
      <c r="CL70" s="492"/>
      <c r="CM70" s="492"/>
      <c r="CN70" s="514"/>
      <c r="CO70" s="492"/>
      <c r="CP70" s="514"/>
      <c r="CQ70" s="492"/>
      <c r="CR70" s="514"/>
      <c r="CS70" s="492"/>
      <c r="CT70" s="492"/>
      <c r="CU70" s="586"/>
      <c r="CV70" s="431"/>
      <c r="CW70" s="586"/>
      <c r="CX70" s="431"/>
      <c r="CY70" s="586"/>
      <c r="CZ70" s="431"/>
      <c r="DA70" s="431"/>
      <c r="DB70" s="586"/>
      <c r="DC70" s="431"/>
      <c r="DD70" s="586"/>
      <c r="DE70" s="431"/>
      <c r="DF70" s="586"/>
      <c r="DG70" s="431"/>
      <c r="DH70" s="431"/>
      <c r="DI70" s="431"/>
      <c r="DJ70" s="431"/>
      <c r="DK70" s="431"/>
      <c r="DL70" s="431"/>
      <c r="DM70" s="431"/>
      <c r="DN70" s="431"/>
      <c r="DO70" s="431"/>
      <c r="DP70" s="431"/>
      <c r="DQ70" s="431"/>
      <c r="DR70" s="431"/>
      <c r="DS70" s="431"/>
      <c r="DT70" s="431"/>
      <c r="DU70" s="431"/>
      <c r="DV70" s="431"/>
      <c r="DW70" s="431"/>
      <c r="DX70" s="431"/>
      <c r="DY70" s="431"/>
      <c r="DZ70" s="431"/>
      <c r="EA70" s="431"/>
      <c r="EB70" s="431"/>
      <c r="EC70" s="431"/>
      <c r="ED70" s="431"/>
      <c r="EE70" s="431"/>
      <c r="EF70" s="431"/>
      <c r="EG70" s="431"/>
      <c r="EH70" s="431"/>
      <c r="EI70" s="431"/>
      <c r="EJ70" s="431"/>
      <c r="EK70" s="431"/>
      <c r="EL70" s="431"/>
      <c r="EM70" s="431"/>
      <c r="EN70" s="431"/>
      <c r="EO70" s="431"/>
      <c r="EP70" s="431"/>
      <c r="EQ70" s="431"/>
      <c r="ER70" s="431"/>
      <c r="ES70" s="431"/>
      <c r="ET70" s="431"/>
      <c r="EU70" s="431"/>
      <c r="EV70" s="431"/>
      <c r="EW70" s="431"/>
      <c r="EX70" s="431"/>
      <c r="EY70" s="431"/>
      <c r="EZ70" s="431"/>
      <c r="FA70" s="431"/>
      <c r="FB70" s="431"/>
      <c r="FC70" s="431"/>
      <c r="FD70" s="431"/>
      <c r="FE70" s="431"/>
      <c r="FF70" s="431"/>
      <c r="FG70" s="431"/>
      <c r="FH70" s="431"/>
      <c r="FI70" s="431"/>
      <c r="FJ70" s="431"/>
      <c r="FK70" s="431"/>
      <c r="FL70" s="431"/>
      <c r="FM70" s="431"/>
      <c r="FN70" s="431"/>
      <c r="FO70" s="431"/>
      <c r="FP70" s="431"/>
      <c r="FQ70" s="431"/>
      <c r="FR70" s="431"/>
      <c r="FS70" s="587"/>
    </row>
    <row r="71" spans="1:175" s="511" customFormat="1" ht="26.45" customHeight="1">
      <c r="A71" s="510"/>
      <c r="B71" s="615" t="s">
        <v>458</v>
      </c>
      <c r="C71" s="615" t="s">
        <v>459</v>
      </c>
      <c r="D71" s="613">
        <v>86000</v>
      </c>
      <c r="F71" s="626">
        <v>45953</v>
      </c>
      <c r="G71" s="512"/>
      <c r="H71" s="150"/>
      <c r="I71" s="302"/>
      <c r="J71" s="150"/>
      <c r="K71" s="690"/>
      <c r="L71" s="150"/>
      <c r="M71" s="492"/>
      <c r="N71" s="685">
        <f>D71</f>
        <v>86000</v>
      </c>
      <c r="O71" s="513"/>
      <c r="P71" s="493"/>
      <c r="Q71" s="513"/>
      <c r="R71" s="493"/>
      <c r="S71" s="513"/>
      <c r="T71" s="493"/>
      <c r="U71" s="493"/>
      <c r="V71" s="513"/>
      <c r="W71" s="493"/>
      <c r="X71" s="694">
        <f t="shared" si="3"/>
        <v>86000</v>
      </c>
      <c r="Y71" s="492"/>
      <c r="Z71" s="514"/>
      <c r="AA71" s="492"/>
      <c r="AB71" s="492"/>
      <c r="AC71" s="514"/>
      <c r="AD71" s="492"/>
      <c r="AE71" s="514"/>
      <c r="AF71" s="492"/>
      <c r="AG71" s="514"/>
      <c r="AH71" s="492"/>
      <c r="AI71" s="492"/>
      <c r="AJ71" s="514"/>
      <c r="AK71" s="492"/>
      <c r="AL71" s="514"/>
      <c r="AM71" s="492"/>
      <c r="AN71" s="514"/>
      <c r="AO71" s="492"/>
      <c r="AP71" s="492"/>
      <c r="AQ71" s="514"/>
      <c r="AR71" s="492"/>
      <c r="AS71" s="514"/>
      <c r="AT71" s="492"/>
      <c r="AU71" s="514"/>
      <c r="AV71" s="492"/>
      <c r="AW71" s="492"/>
      <c r="AX71" s="514"/>
      <c r="AY71" s="492"/>
      <c r="AZ71" s="514"/>
      <c r="BA71" s="492"/>
      <c r="BB71" s="514"/>
      <c r="BC71" s="492"/>
      <c r="BD71" s="492"/>
      <c r="BE71" s="514"/>
      <c r="BF71" s="492"/>
      <c r="BG71" s="514"/>
      <c r="BH71" s="492"/>
      <c r="BI71" s="514"/>
      <c r="BJ71" s="492"/>
      <c r="BK71" s="492"/>
      <c r="BL71" s="514"/>
      <c r="BM71" s="492"/>
      <c r="BN71" s="514"/>
      <c r="BO71" s="492"/>
      <c r="BP71" s="514"/>
      <c r="BQ71" s="492"/>
      <c r="BR71" s="492"/>
      <c r="BS71" s="514"/>
      <c r="BT71" s="492"/>
      <c r="BU71" s="514"/>
      <c r="BV71" s="492"/>
      <c r="BW71" s="514"/>
      <c r="BX71" s="492"/>
      <c r="BY71" s="492"/>
      <c r="BZ71" s="514"/>
      <c r="CA71" s="492"/>
      <c r="CB71" s="514"/>
      <c r="CC71" s="492"/>
      <c r="CD71" s="514"/>
      <c r="CE71" s="492"/>
      <c r="CF71" s="492"/>
      <c r="CG71" s="514"/>
      <c r="CH71" s="492"/>
      <c r="CI71" s="514"/>
      <c r="CJ71" s="492"/>
      <c r="CK71" s="586"/>
      <c r="CL71" s="492"/>
      <c r="CM71" s="492"/>
      <c r="CN71" s="514"/>
      <c r="CO71" s="492"/>
      <c r="CP71" s="514"/>
      <c r="CQ71" s="492"/>
      <c r="CR71" s="514"/>
      <c r="CS71" s="492"/>
      <c r="CT71" s="492"/>
      <c r="CU71" s="586"/>
      <c r="CV71" s="431"/>
      <c r="CW71" s="586"/>
      <c r="CX71" s="431"/>
      <c r="CY71" s="586"/>
      <c r="CZ71" s="431"/>
      <c r="DA71" s="431"/>
      <c r="DB71" s="586"/>
      <c r="DC71" s="431"/>
      <c r="DD71" s="586"/>
      <c r="DE71" s="431"/>
      <c r="DF71" s="586"/>
      <c r="DG71" s="431"/>
      <c r="DH71" s="431"/>
      <c r="DI71" s="431"/>
      <c r="DJ71" s="431"/>
      <c r="DK71" s="431"/>
      <c r="DL71" s="431"/>
      <c r="DM71" s="431"/>
      <c r="DN71" s="431"/>
      <c r="DO71" s="431"/>
      <c r="DP71" s="431"/>
      <c r="DQ71" s="431"/>
      <c r="DR71" s="431"/>
      <c r="DS71" s="431"/>
      <c r="DT71" s="431"/>
      <c r="DU71" s="431"/>
      <c r="DV71" s="431"/>
      <c r="DW71" s="431"/>
      <c r="DX71" s="431"/>
      <c r="DY71" s="431"/>
      <c r="DZ71" s="431"/>
      <c r="EA71" s="431"/>
      <c r="EB71" s="431"/>
      <c r="EC71" s="431"/>
      <c r="ED71" s="431"/>
      <c r="EE71" s="431"/>
      <c r="EF71" s="431"/>
      <c r="EG71" s="431"/>
      <c r="EH71" s="431"/>
      <c r="EI71" s="431"/>
      <c r="EJ71" s="431"/>
      <c r="EK71" s="431"/>
      <c r="EL71" s="431"/>
      <c r="EM71" s="431"/>
      <c r="EN71" s="431"/>
      <c r="EO71" s="431"/>
      <c r="EP71" s="431"/>
      <c r="EQ71" s="431"/>
      <c r="ER71" s="431"/>
      <c r="ES71" s="431"/>
      <c r="ET71" s="431"/>
      <c r="EU71" s="431"/>
      <c r="EV71" s="431"/>
      <c r="EW71" s="431"/>
      <c r="EX71" s="431"/>
      <c r="EY71" s="431"/>
      <c r="EZ71" s="431"/>
      <c r="FA71" s="431"/>
      <c r="FB71" s="431"/>
      <c r="FC71" s="431"/>
      <c r="FD71" s="431"/>
      <c r="FE71" s="431"/>
      <c r="FF71" s="431"/>
      <c r="FG71" s="431"/>
      <c r="FH71" s="431"/>
      <c r="FI71" s="431"/>
      <c r="FJ71" s="431"/>
      <c r="FK71" s="431"/>
      <c r="FL71" s="431"/>
      <c r="FM71" s="431"/>
      <c r="FN71" s="431"/>
      <c r="FO71" s="431"/>
      <c r="FP71" s="431"/>
      <c r="FQ71" s="431"/>
      <c r="FR71" s="431"/>
      <c r="FS71" s="587"/>
    </row>
    <row r="72" spans="1:175" s="511" customFormat="1" ht="26.45" customHeight="1">
      <c r="A72" s="510"/>
      <c r="B72" s="640" t="s">
        <v>288</v>
      </c>
      <c r="C72" s="615" t="s">
        <v>429</v>
      </c>
      <c r="D72" s="613">
        <v>20750000</v>
      </c>
      <c r="F72" s="626">
        <v>45953</v>
      </c>
      <c r="G72" s="512"/>
      <c r="H72" s="150"/>
      <c r="I72" s="302"/>
      <c r="J72" s="150"/>
      <c r="K72" s="690"/>
      <c r="L72" s="150"/>
      <c r="M72" s="492"/>
      <c r="N72" s="685">
        <f t="shared" si="4"/>
        <v>20750000</v>
      </c>
      <c r="O72" s="513"/>
      <c r="P72" s="493"/>
      <c r="Q72" s="513"/>
      <c r="R72" s="493"/>
      <c r="S72" s="513"/>
      <c r="T72" s="493"/>
      <c r="U72" s="493"/>
      <c r="V72" s="513"/>
      <c r="W72" s="493"/>
      <c r="X72" s="694">
        <f t="shared" si="3"/>
        <v>20750000</v>
      </c>
      <c r="Y72" s="492"/>
      <c r="Z72" s="514"/>
      <c r="AA72" s="492"/>
      <c r="AB72" s="492"/>
      <c r="AC72" s="514"/>
      <c r="AD72" s="492"/>
      <c r="AE72" s="514"/>
      <c r="AF72" s="492"/>
      <c r="AG72" s="514"/>
      <c r="AH72" s="492"/>
      <c r="AI72" s="492"/>
      <c r="AJ72" s="514"/>
      <c r="AK72" s="492"/>
      <c r="AL72" s="514"/>
      <c r="AM72" s="492"/>
      <c r="AN72" s="514"/>
      <c r="AO72" s="492"/>
      <c r="AP72" s="492"/>
      <c r="AQ72" s="514"/>
      <c r="AR72" s="492"/>
      <c r="AS72" s="514"/>
      <c r="AT72" s="492"/>
      <c r="AU72" s="514"/>
      <c r="AV72" s="492"/>
      <c r="AW72" s="492"/>
      <c r="AX72" s="514"/>
      <c r="AY72" s="492"/>
      <c r="AZ72" s="514"/>
      <c r="BA72" s="492"/>
      <c r="BB72" s="514"/>
      <c r="BC72" s="492"/>
      <c r="BD72" s="492"/>
      <c r="BE72" s="514"/>
      <c r="BF72" s="492"/>
      <c r="BG72" s="514"/>
      <c r="BH72" s="492"/>
      <c r="BI72" s="514"/>
      <c r="BJ72" s="492"/>
      <c r="BK72" s="492"/>
      <c r="BL72" s="514"/>
      <c r="BM72" s="492"/>
      <c r="BN72" s="514"/>
      <c r="BO72" s="492"/>
      <c r="BP72" s="514"/>
      <c r="BQ72" s="492"/>
      <c r="BR72" s="492"/>
      <c r="BS72" s="514"/>
      <c r="BT72" s="492"/>
      <c r="BU72" s="514"/>
      <c r="BV72" s="492"/>
      <c r="BW72" s="514"/>
      <c r="BX72" s="492"/>
      <c r="BY72" s="492"/>
      <c r="BZ72" s="514"/>
      <c r="CA72" s="492"/>
      <c r="CB72" s="514"/>
      <c r="CC72" s="492"/>
      <c r="CD72" s="514"/>
      <c r="CE72" s="492"/>
      <c r="CF72" s="492"/>
      <c r="CG72" s="514"/>
      <c r="CH72" s="492"/>
      <c r="CI72" s="514"/>
      <c r="CJ72" s="492"/>
      <c r="CK72" s="586"/>
      <c r="CL72" s="492"/>
      <c r="CM72" s="492"/>
      <c r="CN72" s="514"/>
      <c r="CO72" s="492"/>
      <c r="CP72" s="514"/>
      <c r="CQ72" s="492"/>
      <c r="CR72" s="514"/>
      <c r="CS72" s="492"/>
      <c r="CT72" s="492"/>
      <c r="CU72" s="586"/>
      <c r="CV72" s="431"/>
      <c r="CW72" s="586"/>
      <c r="CX72" s="431"/>
      <c r="CY72" s="586"/>
      <c r="CZ72" s="431"/>
      <c r="DA72" s="431"/>
      <c r="DB72" s="586"/>
      <c r="DC72" s="431"/>
      <c r="DD72" s="586"/>
      <c r="DE72" s="431"/>
      <c r="DF72" s="586"/>
      <c r="DG72" s="431"/>
      <c r="DH72" s="431"/>
      <c r="DI72" s="431"/>
      <c r="DJ72" s="431"/>
      <c r="DK72" s="431"/>
      <c r="DL72" s="431"/>
      <c r="DM72" s="431"/>
      <c r="DN72" s="431"/>
      <c r="DO72" s="431"/>
      <c r="DP72" s="431"/>
      <c r="DQ72" s="431"/>
      <c r="DR72" s="431"/>
      <c r="DS72" s="431"/>
      <c r="DT72" s="431"/>
      <c r="DU72" s="431"/>
      <c r="DV72" s="431"/>
      <c r="DW72" s="431"/>
      <c r="DX72" s="431"/>
      <c r="DY72" s="431"/>
      <c r="DZ72" s="431"/>
      <c r="EA72" s="431"/>
      <c r="EB72" s="431"/>
      <c r="EC72" s="431"/>
      <c r="ED72" s="431"/>
      <c r="EE72" s="431"/>
      <c r="EF72" s="431"/>
      <c r="EG72" s="431"/>
      <c r="EH72" s="431"/>
      <c r="EI72" s="431"/>
      <c r="EJ72" s="431"/>
      <c r="EK72" s="431"/>
      <c r="EL72" s="431"/>
      <c r="EM72" s="431"/>
      <c r="EN72" s="431"/>
      <c r="EO72" s="431"/>
      <c r="EP72" s="431"/>
      <c r="EQ72" s="431"/>
      <c r="ER72" s="431"/>
      <c r="ES72" s="431"/>
      <c r="ET72" s="431"/>
      <c r="EU72" s="431"/>
      <c r="EV72" s="431"/>
      <c r="EW72" s="431"/>
      <c r="EX72" s="431"/>
      <c r="EY72" s="431"/>
      <c r="EZ72" s="431"/>
      <c r="FA72" s="431"/>
      <c r="FB72" s="431"/>
      <c r="FC72" s="431"/>
      <c r="FD72" s="431"/>
      <c r="FE72" s="431"/>
      <c r="FF72" s="431"/>
      <c r="FG72" s="431"/>
      <c r="FH72" s="431"/>
      <c r="FI72" s="431"/>
      <c r="FJ72" s="431"/>
      <c r="FK72" s="431"/>
      <c r="FL72" s="431"/>
      <c r="FM72" s="431"/>
      <c r="FN72" s="431"/>
      <c r="FO72" s="431"/>
      <c r="FP72" s="431"/>
      <c r="FQ72" s="431"/>
      <c r="FR72" s="431"/>
      <c r="FS72" s="587"/>
    </row>
    <row r="73" spans="1:175" s="511" customFormat="1" ht="26.45" customHeight="1">
      <c r="A73" s="510"/>
      <c r="B73" s="640" t="s">
        <v>288</v>
      </c>
      <c r="C73" s="615" t="s">
        <v>436</v>
      </c>
      <c r="D73" s="613">
        <v>37500000</v>
      </c>
      <c r="F73" s="626">
        <v>45953</v>
      </c>
      <c r="G73" s="512"/>
      <c r="H73" s="150"/>
      <c r="I73" s="302"/>
      <c r="J73" s="150"/>
      <c r="K73" s="690"/>
      <c r="L73" s="150"/>
      <c r="M73" s="492"/>
      <c r="N73" s="685">
        <f t="shared" si="4"/>
        <v>37500000</v>
      </c>
      <c r="O73" s="513"/>
      <c r="P73" s="493"/>
      <c r="Q73" s="513"/>
      <c r="R73" s="493"/>
      <c r="S73" s="513"/>
      <c r="T73" s="493"/>
      <c r="U73" s="493"/>
      <c r="V73" s="513"/>
      <c r="W73" s="493"/>
      <c r="X73" s="694">
        <f t="shared" si="3"/>
        <v>37500000</v>
      </c>
      <c r="Y73" s="492"/>
      <c r="Z73" s="514"/>
      <c r="AA73" s="492"/>
      <c r="AB73" s="492"/>
      <c r="AC73" s="514"/>
      <c r="AD73" s="492"/>
      <c r="AE73" s="514"/>
      <c r="AF73" s="492"/>
      <c r="AG73" s="514"/>
      <c r="AH73" s="492"/>
      <c r="AI73" s="492"/>
      <c r="AJ73" s="514"/>
      <c r="AK73" s="492"/>
      <c r="AL73" s="514"/>
      <c r="AM73" s="492"/>
      <c r="AN73" s="514"/>
      <c r="AO73" s="492"/>
      <c r="AP73" s="492"/>
      <c r="AQ73" s="514"/>
      <c r="AR73" s="492"/>
      <c r="AS73" s="514"/>
      <c r="AT73" s="492"/>
      <c r="AU73" s="514"/>
      <c r="AV73" s="492"/>
      <c r="AW73" s="492"/>
      <c r="AX73" s="514"/>
      <c r="AY73" s="492"/>
      <c r="AZ73" s="514"/>
      <c r="BA73" s="492"/>
      <c r="BB73" s="514"/>
      <c r="BC73" s="492"/>
      <c r="BD73" s="492"/>
      <c r="BE73" s="514"/>
      <c r="BF73" s="492"/>
      <c r="BG73" s="514"/>
      <c r="BH73" s="492"/>
      <c r="BI73" s="514"/>
      <c r="BJ73" s="492"/>
      <c r="BK73" s="492"/>
      <c r="BL73" s="514"/>
      <c r="BM73" s="492"/>
      <c r="BN73" s="514"/>
      <c r="BO73" s="492"/>
      <c r="BP73" s="514"/>
      <c r="BQ73" s="492"/>
      <c r="BR73" s="492"/>
      <c r="BS73" s="514"/>
      <c r="BT73" s="492"/>
      <c r="BU73" s="514"/>
      <c r="BV73" s="492"/>
      <c r="BW73" s="514"/>
      <c r="BX73" s="492"/>
      <c r="BY73" s="492"/>
      <c r="BZ73" s="514"/>
      <c r="CA73" s="492"/>
      <c r="CB73" s="514"/>
      <c r="CC73" s="492"/>
      <c r="CD73" s="514"/>
      <c r="CE73" s="492"/>
      <c r="CF73" s="492"/>
      <c r="CG73" s="514"/>
      <c r="CH73" s="492"/>
      <c r="CI73" s="514"/>
      <c r="CJ73" s="492"/>
      <c r="CK73" s="586"/>
      <c r="CL73" s="492"/>
      <c r="CM73" s="492"/>
      <c r="CN73" s="514"/>
      <c r="CO73" s="492"/>
      <c r="CP73" s="514"/>
      <c r="CQ73" s="492"/>
      <c r="CR73" s="514"/>
      <c r="CS73" s="492"/>
      <c r="CT73" s="492"/>
      <c r="CU73" s="586"/>
      <c r="CV73" s="431"/>
      <c r="CW73" s="586"/>
      <c r="CX73" s="431"/>
      <c r="CY73" s="586"/>
      <c r="CZ73" s="431"/>
      <c r="DA73" s="431"/>
      <c r="DB73" s="586"/>
      <c r="DC73" s="431"/>
      <c r="DD73" s="586"/>
      <c r="DE73" s="431"/>
      <c r="DF73" s="586"/>
      <c r="DG73" s="431"/>
      <c r="DH73" s="431"/>
      <c r="DI73" s="431"/>
      <c r="DJ73" s="431"/>
      <c r="DK73" s="431"/>
      <c r="DL73" s="431"/>
      <c r="DM73" s="431"/>
      <c r="DN73" s="431"/>
      <c r="DO73" s="431"/>
      <c r="DP73" s="431"/>
      <c r="DQ73" s="431"/>
      <c r="DR73" s="431"/>
      <c r="DS73" s="431"/>
      <c r="DT73" s="431"/>
      <c r="DU73" s="431"/>
      <c r="DV73" s="431"/>
      <c r="DW73" s="431"/>
      <c r="DX73" s="431"/>
      <c r="DY73" s="431"/>
      <c r="DZ73" s="431"/>
      <c r="EA73" s="431"/>
      <c r="EB73" s="431"/>
      <c r="EC73" s="431"/>
      <c r="ED73" s="431"/>
      <c r="EE73" s="431"/>
      <c r="EF73" s="431"/>
      <c r="EG73" s="431"/>
      <c r="EH73" s="431"/>
      <c r="EI73" s="431"/>
      <c r="EJ73" s="431"/>
      <c r="EK73" s="431"/>
      <c r="EL73" s="431"/>
      <c r="EM73" s="431"/>
      <c r="EN73" s="431"/>
      <c r="EO73" s="431"/>
      <c r="EP73" s="431"/>
      <c r="EQ73" s="431"/>
      <c r="ER73" s="431"/>
      <c r="ES73" s="431"/>
      <c r="ET73" s="431"/>
      <c r="EU73" s="431"/>
      <c r="EV73" s="431"/>
      <c r="EW73" s="431"/>
      <c r="EX73" s="431"/>
      <c r="EY73" s="431"/>
      <c r="EZ73" s="431"/>
      <c r="FA73" s="431"/>
      <c r="FB73" s="431"/>
      <c r="FC73" s="431"/>
      <c r="FD73" s="431"/>
      <c r="FE73" s="431"/>
      <c r="FF73" s="431"/>
      <c r="FG73" s="431"/>
      <c r="FH73" s="431"/>
      <c r="FI73" s="431"/>
      <c r="FJ73" s="431"/>
      <c r="FK73" s="431"/>
      <c r="FL73" s="431"/>
      <c r="FM73" s="431"/>
      <c r="FN73" s="431"/>
      <c r="FO73" s="431"/>
      <c r="FP73" s="431"/>
      <c r="FQ73" s="431"/>
      <c r="FR73" s="431"/>
      <c r="FS73" s="587"/>
    </row>
    <row r="74" spans="1:175" s="511" customFormat="1" ht="26.45" customHeight="1">
      <c r="A74" s="510"/>
      <c r="B74" s="640" t="s">
        <v>288</v>
      </c>
      <c r="C74" s="615" t="s">
        <v>460</v>
      </c>
      <c r="D74" s="613">
        <v>3000000</v>
      </c>
      <c r="F74" s="626">
        <v>45953</v>
      </c>
      <c r="G74" s="512"/>
      <c r="H74" s="150"/>
      <c r="I74" s="302"/>
      <c r="J74" s="150"/>
      <c r="K74" s="690"/>
      <c r="L74" s="150"/>
      <c r="M74" s="492"/>
      <c r="N74" s="685">
        <f t="shared" si="4"/>
        <v>3000000</v>
      </c>
      <c r="O74" s="513"/>
      <c r="P74" s="493"/>
      <c r="Q74" s="513"/>
      <c r="R74" s="493"/>
      <c r="S74" s="513"/>
      <c r="T74" s="493"/>
      <c r="U74" s="493"/>
      <c r="V74" s="513"/>
      <c r="W74" s="493"/>
      <c r="X74" s="694">
        <f t="shared" si="3"/>
        <v>3000000</v>
      </c>
      <c r="Y74" s="492"/>
      <c r="Z74" s="514"/>
      <c r="AA74" s="492"/>
      <c r="AB74" s="492"/>
      <c r="AC74" s="514"/>
      <c r="AD74" s="492"/>
      <c r="AE74" s="514"/>
      <c r="AF74" s="492"/>
      <c r="AG74" s="514"/>
      <c r="AH74" s="492"/>
      <c r="AI74" s="492"/>
      <c r="AJ74" s="514"/>
      <c r="AK74" s="492"/>
      <c r="AL74" s="514"/>
      <c r="AM74" s="492"/>
      <c r="AN74" s="514"/>
      <c r="AO74" s="492"/>
      <c r="AP74" s="492"/>
      <c r="AQ74" s="514"/>
      <c r="AR74" s="492"/>
      <c r="AS74" s="514"/>
      <c r="AT74" s="492"/>
      <c r="AU74" s="514"/>
      <c r="AV74" s="492"/>
      <c r="AW74" s="492"/>
      <c r="AX74" s="514"/>
      <c r="AY74" s="492"/>
      <c r="AZ74" s="514"/>
      <c r="BA74" s="492"/>
      <c r="BB74" s="514"/>
      <c r="BC74" s="492"/>
      <c r="BD74" s="492"/>
      <c r="BE74" s="514"/>
      <c r="BF74" s="492"/>
      <c r="BG74" s="514"/>
      <c r="BH74" s="492"/>
      <c r="BI74" s="514"/>
      <c r="BJ74" s="492"/>
      <c r="BK74" s="492"/>
      <c r="BL74" s="514"/>
      <c r="BM74" s="492"/>
      <c r="BN74" s="514"/>
      <c r="BO74" s="492"/>
      <c r="BP74" s="514"/>
      <c r="BQ74" s="492"/>
      <c r="BR74" s="492"/>
      <c r="BS74" s="514"/>
      <c r="BT74" s="492"/>
      <c r="BU74" s="514"/>
      <c r="BV74" s="492"/>
      <c r="BW74" s="514"/>
      <c r="BX74" s="492"/>
      <c r="BY74" s="492"/>
      <c r="BZ74" s="514"/>
      <c r="CA74" s="492"/>
      <c r="CB74" s="514"/>
      <c r="CC74" s="492"/>
      <c r="CD74" s="514"/>
      <c r="CE74" s="492"/>
      <c r="CF74" s="492"/>
      <c r="CG74" s="514"/>
      <c r="CH74" s="492"/>
      <c r="CI74" s="514"/>
      <c r="CJ74" s="492"/>
      <c r="CK74" s="586"/>
      <c r="CL74" s="492"/>
      <c r="CM74" s="492"/>
      <c r="CN74" s="514"/>
      <c r="CO74" s="492"/>
      <c r="CP74" s="514"/>
      <c r="CQ74" s="492"/>
      <c r="CR74" s="514"/>
      <c r="CS74" s="492"/>
      <c r="CT74" s="492"/>
      <c r="CU74" s="586"/>
      <c r="CV74" s="431"/>
      <c r="CW74" s="586"/>
      <c r="CX74" s="431"/>
      <c r="CY74" s="586"/>
      <c r="CZ74" s="431"/>
      <c r="DA74" s="431"/>
      <c r="DB74" s="586"/>
      <c r="DC74" s="431"/>
      <c r="DD74" s="586"/>
      <c r="DE74" s="431"/>
      <c r="DF74" s="586"/>
      <c r="DG74" s="431"/>
      <c r="DH74" s="431"/>
      <c r="DI74" s="431"/>
      <c r="DJ74" s="431"/>
      <c r="DK74" s="431"/>
      <c r="DL74" s="431"/>
      <c r="DM74" s="431"/>
      <c r="DN74" s="431"/>
      <c r="DO74" s="431"/>
      <c r="DP74" s="431"/>
      <c r="DQ74" s="431"/>
      <c r="DR74" s="431"/>
      <c r="DS74" s="431"/>
      <c r="DT74" s="431"/>
      <c r="DU74" s="431"/>
      <c r="DV74" s="431"/>
      <c r="DW74" s="431"/>
      <c r="DX74" s="431"/>
      <c r="DY74" s="431"/>
      <c r="DZ74" s="431"/>
      <c r="EA74" s="431"/>
      <c r="EB74" s="431"/>
      <c r="EC74" s="431"/>
      <c r="ED74" s="431"/>
      <c r="EE74" s="431"/>
      <c r="EF74" s="431"/>
      <c r="EG74" s="431"/>
      <c r="EH74" s="431"/>
      <c r="EI74" s="431"/>
      <c r="EJ74" s="431"/>
      <c r="EK74" s="431"/>
      <c r="EL74" s="431"/>
      <c r="EM74" s="431"/>
      <c r="EN74" s="431"/>
      <c r="EO74" s="431"/>
      <c r="EP74" s="431"/>
      <c r="EQ74" s="431"/>
      <c r="ER74" s="431"/>
      <c r="ES74" s="431"/>
      <c r="ET74" s="431"/>
      <c r="EU74" s="431"/>
      <c r="EV74" s="431"/>
      <c r="EW74" s="431"/>
      <c r="EX74" s="431"/>
      <c r="EY74" s="431"/>
      <c r="EZ74" s="431"/>
      <c r="FA74" s="431"/>
      <c r="FB74" s="431"/>
      <c r="FC74" s="431"/>
      <c r="FD74" s="431"/>
      <c r="FE74" s="431"/>
      <c r="FF74" s="431"/>
      <c r="FG74" s="431"/>
      <c r="FH74" s="431"/>
      <c r="FI74" s="431"/>
      <c r="FJ74" s="431"/>
      <c r="FK74" s="431"/>
      <c r="FL74" s="431"/>
      <c r="FM74" s="431"/>
      <c r="FN74" s="431"/>
      <c r="FO74" s="431"/>
      <c r="FP74" s="431"/>
      <c r="FQ74" s="431"/>
      <c r="FR74" s="431"/>
      <c r="FS74" s="587"/>
    </row>
    <row r="75" spans="1:175" s="511" customFormat="1" ht="26.45" customHeight="1">
      <c r="A75" s="510"/>
      <c r="B75" s="640" t="s">
        <v>288</v>
      </c>
      <c r="C75" s="615" t="s">
        <v>437</v>
      </c>
      <c r="D75" s="613">
        <v>85000000</v>
      </c>
      <c r="F75" s="626">
        <v>45953</v>
      </c>
      <c r="G75" s="512"/>
      <c r="H75" s="150"/>
      <c r="I75" s="302"/>
      <c r="J75" s="150"/>
      <c r="K75" s="690"/>
      <c r="L75" s="150"/>
      <c r="M75" s="492"/>
      <c r="N75" s="685">
        <f t="shared" si="4"/>
        <v>85000000</v>
      </c>
      <c r="O75" s="513"/>
      <c r="P75" s="493"/>
      <c r="Q75" s="513"/>
      <c r="R75" s="493"/>
      <c r="S75" s="513"/>
      <c r="T75" s="493"/>
      <c r="U75" s="493"/>
      <c r="V75" s="513"/>
      <c r="W75" s="493"/>
      <c r="X75" s="694">
        <f t="shared" si="3"/>
        <v>85000000</v>
      </c>
      <c r="Y75" s="492"/>
      <c r="Z75" s="514"/>
      <c r="AA75" s="492"/>
      <c r="AB75" s="492"/>
      <c r="AC75" s="514"/>
      <c r="AD75" s="492"/>
      <c r="AE75" s="514"/>
      <c r="AF75" s="492"/>
      <c r="AG75" s="514"/>
      <c r="AH75" s="492"/>
      <c r="AI75" s="492"/>
      <c r="AJ75" s="514"/>
      <c r="AK75" s="492"/>
      <c r="AL75" s="514"/>
      <c r="AM75" s="492"/>
      <c r="AN75" s="514"/>
      <c r="AO75" s="492"/>
      <c r="AP75" s="492"/>
      <c r="AQ75" s="514"/>
      <c r="AR75" s="492"/>
      <c r="AS75" s="514"/>
      <c r="AT75" s="492"/>
      <c r="AU75" s="514"/>
      <c r="AV75" s="492"/>
      <c r="AW75" s="492"/>
      <c r="AX75" s="514"/>
      <c r="AY75" s="492"/>
      <c r="AZ75" s="514"/>
      <c r="BA75" s="492"/>
      <c r="BB75" s="514"/>
      <c r="BC75" s="492"/>
      <c r="BD75" s="492"/>
      <c r="BE75" s="514"/>
      <c r="BF75" s="492"/>
      <c r="BG75" s="514"/>
      <c r="BH75" s="492"/>
      <c r="BI75" s="514"/>
      <c r="BJ75" s="492"/>
      <c r="BK75" s="492"/>
      <c r="BL75" s="514"/>
      <c r="BM75" s="492"/>
      <c r="BN75" s="514"/>
      <c r="BO75" s="492"/>
      <c r="BP75" s="514"/>
      <c r="BQ75" s="492"/>
      <c r="BR75" s="492"/>
      <c r="BS75" s="514"/>
      <c r="BT75" s="492"/>
      <c r="BU75" s="514"/>
      <c r="BV75" s="492"/>
      <c r="BW75" s="514"/>
      <c r="BX75" s="492"/>
      <c r="BY75" s="492"/>
      <c r="BZ75" s="514"/>
      <c r="CA75" s="492"/>
      <c r="CB75" s="514"/>
      <c r="CC75" s="492"/>
      <c r="CD75" s="514"/>
      <c r="CE75" s="492"/>
      <c r="CF75" s="492"/>
      <c r="CG75" s="514"/>
      <c r="CH75" s="492"/>
      <c r="CI75" s="514"/>
      <c r="CJ75" s="492"/>
      <c r="CK75" s="586"/>
      <c r="CL75" s="492"/>
      <c r="CM75" s="492"/>
      <c r="CN75" s="514"/>
      <c r="CO75" s="492"/>
      <c r="CP75" s="514"/>
      <c r="CQ75" s="492"/>
      <c r="CR75" s="514"/>
      <c r="CS75" s="492"/>
      <c r="CT75" s="492"/>
      <c r="CU75" s="586"/>
      <c r="CV75" s="431"/>
      <c r="CW75" s="586"/>
      <c r="CX75" s="431"/>
      <c r="CY75" s="586"/>
      <c r="CZ75" s="431"/>
      <c r="DA75" s="431"/>
      <c r="DB75" s="586"/>
      <c r="DC75" s="431"/>
      <c r="DD75" s="586"/>
      <c r="DE75" s="431"/>
      <c r="DF75" s="586"/>
      <c r="DG75" s="431"/>
      <c r="DH75" s="431"/>
      <c r="DI75" s="431"/>
      <c r="DJ75" s="431"/>
      <c r="DK75" s="431"/>
      <c r="DL75" s="431"/>
      <c r="DM75" s="431"/>
      <c r="DN75" s="431"/>
      <c r="DO75" s="431"/>
      <c r="DP75" s="431"/>
      <c r="DQ75" s="431"/>
      <c r="DR75" s="431"/>
      <c r="DS75" s="431"/>
      <c r="DT75" s="431"/>
      <c r="DU75" s="431"/>
      <c r="DV75" s="431"/>
      <c r="DW75" s="431"/>
      <c r="DX75" s="431"/>
      <c r="DY75" s="431"/>
      <c r="DZ75" s="431"/>
      <c r="EA75" s="431"/>
      <c r="EB75" s="431"/>
      <c r="EC75" s="431"/>
      <c r="ED75" s="431"/>
      <c r="EE75" s="431"/>
      <c r="EF75" s="431"/>
      <c r="EG75" s="431"/>
      <c r="EH75" s="431"/>
      <c r="EI75" s="431"/>
      <c r="EJ75" s="431"/>
      <c r="EK75" s="431"/>
      <c r="EL75" s="431"/>
      <c r="EM75" s="431"/>
      <c r="EN75" s="431"/>
      <c r="EO75" s="431"/>
      <c r="EP75" s="431"/>
      <c r="EQ75" s="431"/>
      <c r="ER75" s="431"/>
      <c r="ES75" s="431"/>
      <c r="ET75" s="431"/>
      <c r="EU75" s="431"/>
      <c r="EV75" s="431"/>
      <c r="EW75" s="431"/>
      <c r="EX75" s="431"/>
      <c r="EY75" s="431"/>
      <c r="EZ75" s="431"/>
      <c r="FA75" s="431"/>
      <c r="FB75" s="431"/>
      <c r="FC75" s="431"/>
      <c r="FD75" s="431"/>
      <c r="FE75" s="431"/>
      <c r="FF75" s="431"/>
      <c r="FG75" s="431"/>
      <c r="FH75" s="431"/>
      <c r="FI75" s="431"/>
      <c r="FJ75" s="431"/>
      <c r="FK75" s="431"/>
      <c r="FL75" s="431"/>
      <c r="FM75" s="431"/>
      <c r="FN75" s="431"/>
      <c r="FO75" s="431"/>
      <c r="FP75" s="431"/>
      <c r="FQ75" s="431"/>
      <c r="FR75" s="431"/>
      <c r="FS75" s="587"/>
    </row>
    <row r="76" spans="1:175" s="511" customFormat="1" ht="26.45" customHeight="1">
      <c r="A76" s="510"/>
      <c r="B76" s="640" t="s">
        <v>288</v>
      </c>
      <c r="C76" s="615" t="s">
        <v>439</v>
      </c>
      <c r="D76" s="613">
        <v>10450000</v>
      </c>
      <c r="F76" s="626">
        <v>45953</v>
      </c>
      <c r="G76" s="512"/>
      <c r="H76" s="150"/>
      <c r="I76" s="302"/>
      <c r="J76" s="150"/>
      <c r="K76" s="690"/>
      <c r="L76" s="150"/>
      <c r="M76" s="492"/>
      <c r="N76" s="685">
        <f t="shared" si="4"/>
        <v>10450000</v>
      </c>
      <c r="O76" s="513"/>
      <c r="P76" s="493"/>
      <c r="Q76" s="513"/>
      <c r="R76" s="493"/>
      <c r="S76" s="513"/>
      <c r="T76" s="493"/>
      <c r="U76" s="493"/>
      <c r="V76" s="513"/>
      <c r="W76" s="493"/>
      <c r="X76" s="694">
        <f t="shared" si="3"/>
        <v>10450000</v>
      </c>
      <c r="Y76" s="492"/>
      <c r="Z76" s="514"/>
      <c r="AA76" s="492"/>
      <c r="AB76" s="492"/>
      <c r="AC76" s="514"/>
      <c r="AD76" s="492"/>
      <c r="AE76" s="514"/>
      <c r="AF76" s="492"/>
      <c r="AG76" s="514"/>
      <c r="AH76" s="492"/>
      <c r="AI76" s="492"/>
      <c r="AJ76" s="514"/>
      <c r="AK76" s="492"/>
      <c r="AL76" s="514"/>
      <c r="AM76" s="492"/>
      <c r="AN76" s="514"/>
      <c r="AO76" s="492"/>
      <c r="AP76" s="492"/>
      <c r="AQ76" s="514"/>
      <c r="AR76" s="492"/>
      <c r="AS76" s="514"/>
      <c r="AT76" s="492"/>
      <c r="AU76" s="514"/>
      <c r="AV76" s="492"/>
      <c r="AW76" s="492"/>
      <c r="AX76" s="514"/>
      <c r="AY76" s="492"/>
      <c r="AZ76" s="514"/>
      <c r="BA76" s="492"/>
      <c r="BB76" s="514"/>
      <c r="BC76" s="492"/>
      <c r="BD76" s="492"/>
      <c r="BE76" s="514"/>
      <c r="BF76" s="492"/>
      <c r="BG76" s="514"/>
      <c r="BH76" s="492"/>
      <c r="BI76" s="514"/>
      <c r="BJ76" s="492"/>
      <c r="BK76" s="492"/>
      <c r="BL76" s="514"/>
      <c r="BM76" s="492"/>
      <c r="BN76" s="514"/>
      <c r="BO76" s="492"/>
      <c r="BP76" s="514"/>
      <c r="BQ76" s="492"/>
      <c r="BR76" s="492"/>
      <c r="BS76" s="514"/>
      <c r="BT76" s="492"/>
      <c r="BU76" s="514"/>
      <c r="BV76" s="492"/>
      <c r="BW76" s="514"/>
      <c r="BX76" s="492"/>
      <c r="BY76" s="492"/>
      <c r="BZ76" s="514"/>
      <c r="CA76" s="492"/>
      <c r="CB76" s="514"/>
      <c r="CC76" s="492"/>
      <c r="CD76" s="514"/>
      <c r="CE76" s="492"/>
      <c r="CF76" s="492"/>
      <c r="CG76" s="514"/>
      <c r="CH76" s="492"/>
      <c r="CI76" s="514"/>
      <c r="CJ76" s="492"/>
      <c r="CK76" s="586"/>
      <c r="CL76" s="492"/>
      <c r="CM76" s="492"/>
      <c r="CN76" s="514"/>
      <c r="CO76" s="492"/>
      <c r="CP76" s="514"/>
      <c r="CQ76" s="492"/>
      <c r="CR76" s="514"/>
      <c r="CS76" s="492"/>
      <c r="CT76" s="492"/>
      <c r="CU76" s="586"/>
      <c r="CV76" s="431"/>
      <c r="CW76" s="586"/>
      <c r="CX76" s="431"/>
      <c r="CY76" s="586"/>
      <c r="CZ76" s="431"/>
      <c r="DA76" s="431"/>
      <c r="DB76" s="586"/>
      <c r="DC76" s="431"/>
      <c r="DD76" s="586"/>
      <c r="DE76" s="431"/>
      <c r="DF76" s="586"/>
      <c r="DG76" s="431"/>
      <c r="DH76" s="431"/>
      <c r="DI76" s="431"/>
      <c r="DJ76" s="431"/>
      <c r="DK76" s="431"/>
      <c r="DL76" s="431"/>
      <c r="DM76" s="431"/>
      <c r="DN76" s="431"/>
      <c r="DO76" s="431"/>
      <c r="DP76" s="431"/>
      <c r="DQ76" s="431"/>
      <c r="DR76" s="431"/>
      <c r="DS76" s="431"/>
      <c r="DT76" s="431"/>
      <c r="DU76" s="431"/>
      <c r="DV76" s="431"/>
      <c r="DW76" s="431"/>
      <c r="DX76" s="431"/>
      <c r="DY76" s="431"/>
      <c r="DZ76" s="431"/>
      <c r="EA76" s="431"/>
      <c r="EB76" s="431"/>
      <c r="EC76" s="431"/>
      <c r="ED76" s="431"/>
      <c r="EE76" s="431"/>
      <c r="EF76" s="431"/>
      <c r="EG76" s="431"/>
      <c r="EH76" s="431"/>
      <c r="EI76" s="431"/>
      <c r="EJ76" s="431"/>
      <c r="EK76" s="431"/>
      <c r="EL76" s="431"/>
      <c r="EM76" s="431"/>
      <c r="EN76" s="431"/>
      <c r="EO76" s="431"/>
      <c r="EP76" s="431"/>
      <c r="EQ76" s="431"/>
      <c r="ER76" s="431"/>
      <c r="ES76" s="431"/>
      <c r="ET76" s="431"/>
      <c r="EU76" s="431"/>
      <c r="EV76" s="431"/>
      <c r="EW76" s="431"/>
      <c r="EX76" s="431"/>
      <c r="EY76" s="431"/>
      <c r="EZ76" s="431"/>
      <c r="FA76" s="431"/>
      <c r="FB76" s="431"/>
      <c r="FC76" s="431"/>
      <c r="FD76" s="431"/>
      <c r="FE76" s="431"/>
      <c r="FF76" s="431"/>
      <c r="FG76" s="431"/>
      <c r="FH76" s="431"/>
      <c r="FI76" s="431"/>
      <c r="FJ76" s="431"/>
      <c r="FK76" s="431"/>
      <c r="FL76" s="431"/>
      <c r="FM76" s="431"/>
      <c r="FN76" s="431"/>
      <c r="FO76" s="431"/>
      <c r="FP76" s="431"/>
      <c r="FQ76" s="431"/>
      <c r="FR76" s="431"/>
      <c r="FS76" s="587"/>
    </row>
    <row r="77" spans="1:175" s="511" customFormat="1" ht="26.45" customHeight="1">
      <c r="A77" s="510"/>
      <c r="B77" s="640" t="s">
        <v>288</v>
      </c>
      <c r="C77" s="615" t="s">
        <v>442</v>
      </c>
      <c r="D77" s="613">
        <v>10750000</v>
      </c>
      <c r="F77" s="626">
        <v>45953</v>
      </c>
      <c r="G77" s="512"/>
      <c r="H77" s="150"/>
      <c r="I77" s="302"/>
      <c r="J77" s="150"/>
      <c r="K77" s="690"/>
      <c r="L77" s="150"/>
      <c r="M77" s="492"/>
      <c r="N77" s="685">
        <f t="shared" si="4"/>
        <v>10750000</v>
      </c>
      <c r="O77" s="513"/>
      <c r="P77" s="493"/>
      <c r="Q77" s="513"/>
      <c r="R77" s="493"/>
      <c r="S77" s="513"/>
      <c r="T77" s="493"/>
      <c r="U77" s="493"/>
      <c r="V77" s="513"/>
      <c r="W77" s="493"/>
      <c r="X77" s="694">
        <f t="shared" si="3"/>
        <v>10750000</v>
      </c>
      <c r="Y77" s="492"/>
      <c r="Z77" s="514"/>
      <c r="AA77" s="492"/>
      <c r="AB77" s="492"/>
      <c r="AC77" s="514"/>
      <c r="AD77" s="492"/>
      <c r="AE77" s="514"/>
      <c r="AF77" s="492"/>
      <c r="AG77" s="514"/>
      <c r="AH77" s="492"/>
      <c r="AI77" s="492"/>
      <c r="AJ77" s="514"/>
      <c r="AK77" s="492"/>
      <c r="AL77" s="514"/>
      <c r="AM77" s="492"/>
      <c r="AN77" s="514"/>
      <c r="AO77" s="492"/>
      <c r="AP77" s="492"/>
      <c r="AQ77" s="514"/>
      <c r="AR77" s="492"/>
      <c r="AS77" s="514"/>
      <c r="AT77" s="492"/>
      <c r="AU77" s="514"/>
      <c r="AV77" s="492"/>
      <c r="AW77" s="492"/>
      <c r="AX77" s="514"/>
      <c r="AY77" s="492"/>
      <c r="AZ77" s="514"/>
      <c r="BA77" s="492"/>
      <c r="BB77" s="514"/>
      <c r="BC77" s="492"/>
      <c r="BD77" s="492"/>
      <c r="BE77" s="514"/>
      <c r="BF77" s="492"/>
      <c r="BG77" s="514"/>
      <c r="BH77" s="492"/>
      <c r="BI77" s="514"/>
      <c r="BJ77" s="492"/>
      <c r="BK77" s="492"/>
      <c r="BL77" s="514"/>
      <c r="BM77" s="492"/>
      <c r="BN77" s="514"/>
      <c r="BO77" s="492"/>
      <c r="BP77" s="514"/>
      <c r="BQ77" s="492"/>
      <c r="BR77" s="492"/>
      <c r="BS77" s="514"/>
      <c r="BT77" s="492"/>
      <c r="BU77" s="514"/>
      <c r="BV77" s="492"/>
      <c r="BW77" s="514"/>
      <c r="BX77" s="492"/>
      <c r="BY77" s="492"/>
      <c r="BZ77" s="514"/>
      <c r="CA77" s="492"/>
      <c r="CB77" s="514"/>
      <c r="CC77" s="492"/>
      <c r="CD77" s="514"/>
      <c r="CE77" s="492"/>
      <c r="CF77" s="492"/>
      <c r="CG77" s="514"/>
      <c r="CH77" s="492"/>
      <c r="CI77" s="514"/>
      <c r="CJ77" s="492"/>
      <c r="CK77" s="586"/>
      <c r="CL77" s="492"/>
      <c r="CM77" s="492"/>
      <c r="CN77" s="514"/>
      <c r="CO77" s="492"/>
      <c r="CP77" s="514"/>
      <c r="CQ77" s="492"/>
      <c r="CR77" s="514"/>
      <c r="CS77" s="492"/>
      <c r="CT77" s="492"/>
      <c r="CU77" s="586"/>
      <c r="CV77" s="431"/>
      <c r="CW77" s="586"/>
      <c r="CX77" s="431"/>
      <c r="CY77" s="586"/>
      <c r="CZ77" s="431"/>
      <c r="DA77" s="431"/>
      <c r="DB77" s="586"/>
      <c r="DC77" s="431"/>
      <c r="DD77" s="586"/>
      <c r="DE77" s="431"/>
      <c r="DF77" s="586"/>
      <c r="DG77" s="431"/>
      <c r="DH77" s="431"/>
      <c r="DI77" s="431"/>
      <c r="DJ77" s="431"/>
      <c r="DK77" s="431"/>
      <c r="DL77" s="431"/>
      <c r="DM77" s="431"/>
      <c r="DN77" s="431"/>
      <c r="DO77" s="431"/>
      <c r="DP77" s="431"/>
      <c r="DQ77" s="431"/>
      <c r="DR77" s="431"/>
      <c r="DS77" s="431"/>
      <c r="DT77" s="431"/>
      <c r="DU77" s="431"/>
      <c r="DV77" s="431"/>
      <c r="DW77" s="431"/>
      <c r="DX77" s="431"/>
      <c r="DY77" s="431"/>
      <c r="DZ77" s="431"/>
      <c r="EA77" s="431"/>
      <c r="EB77" s="431"/>
      <c r="EC77" s="431"/>
      <c r="ED77" s="431"/>
      <c r="EE77" s="431"/>
      <c r="EF77" s="431"/>
      <c r="EG77" s="431"/>
      <c r="EH77" s="431"/>
      <c r="EI77" s="431"/>
      <c r="EJ77" s="431"/>
      <c r="EK77" s="431"/>
      <c r="EL77" s="431"/>
      <c r="EM77" s="431"/>
      <c r="EN77" s="431"/>
      <c r="EO77" s="431"/>
      <c r="EP77" s="431"/>
      <c r="EQ77" s="431"/>
      <c r="ER77" s="431"/>
      <c r="ES77" s="431"/>
      <c r="ET77" s="431"/>
      <c r="EU77" s="431"/>
      <c r="EV77" s="431"/>
      <c r="EW77" s="431"/>
      <c r="EX77" s="431"/>
      <c r="EY77" s="431"/>
      <c r="EZ77" s="431"/>
      <c r="FA77" s="431"/>
      <c r="FB77" s="431"/>
      <c r="FC77" s="431"/>
      <c r="FD77" s="431"/>
      <c r="FE77" s="431"/>
      <c r="FF77" s="431"/>
      <c r="FG77" s="431"/>
      <c r="FH77" s="431"/>
      <c r="FI77" s="431"/>
      <c r="FJ77" s="431"/>
      <c r="FK77" s="431"/>
      <c r="FL77" s="431"/>
      <c r="FM77" s="431"/>
      <c r="FN77" s="431"/>
      <c r="FO77" s="431"/>
      <c r="FP77" s="431"/>
      <c r="FQ77" s="431"/>
      <c r="FR77" s="431"/>
      <c r="FS77" s="587"/>
    </row>
    <row r="78" spans="1:175" s="511" customFormat="1" ht="26.45" customHeight="1">
      <c r="A78" s="510"/>
      <c r="B78" s="616" t="s">
        <v>371</v>
      </c>
      <c r="C78" s="615" t="s">
        <v>372</v>
      </c>
      <c r="D78" s="613">
        <v>30877350</v>
      </c>
      <c r="F78" s="626">
        <v>45958</v>
      </c>
      <c r="G78" s="512"/>
      <c r="H78" s="150"/>
      <c r="I78" s="302"/>
      <c r="J78" s="150"/>
      <c r="K78" s="690"/>
      <c r="L78" s="150"/>
      <c r="M78" s="492"/>
      <c r="N78" s="685"/>
      <c r="O78" s="513"/>
      <c r="P78" s="493"/>
      <c r="Q78" s="513"/>
      <c r="R78" s="493"/>
      <c r="S78" s="687">
        <f>D78</f>
        <v>30877350</v>
      </c>
      <c r="T78" s="493"/>
      <c r="U78" s="493"/>
      <c r="V78" s="513"/>
      <c r="W78" s="493"/>
      <c r="X78" s="694">
        <f t="shared" si="3"/>
        <v>30877350</v>
      </c>
      <c r="Y78" s="492"/>
      <c r="Z78" s="514"/>
      <c r="AA78" s="492"/>
      <c r="AB78" s="492"/>
      <c r="AC78" s="514"/>
      <c r="AD78" s="492"/>
      <c r="AE78" s="514"/>
      <c r="AF78" s="492"/>
      <c r="AG78" s="514"/>
      <c r="AH78" s="492"/>
      <c r="AI78" s="492"/>
      <c r="AJ78" s="514"/>
      <c r="AK78" s="492"/>
      <c r="AL78" s="514"/>
      <c r="AM78" s="492"/>
      <c r="AN78" s="514"/>
      <c r="AO78" s="492"/>
      <c r="AP78" s="492"/>
      <c r="AQ78" s="514"/>
      <c r="AR78" s="492"/>
      <c r="AS78" s="514"/>
      <c r="AT78" s="492"/>
      <c r="AU78" s="514"/>
      <c r="AV78" s="492"/>
      <c r="AW78" s="492"/>
      <c r="AX78" s="514"/>
      <c r="AY78" s="492"/>
      <c r="AZ78" s="514"/>
      <c r="BA78" s="492"/>
      <c r="BB78" s="514"/>
      <c r="BC78" s="492"/>
      <c r="BD78" s="492"/>
      <c r="BE78" s="514"/>
      <c r="BF78" s="492"/>
      <c r="BG78" s="514"/>
      <c r="BH78" s="492"/>
      <c r="BI78" s="514"/>
      <c r="BJ78" s="492"/>
      <c r="BK78" s="492"/>
      <c r="BL78" s="514"/>
      <c r="BM78" s="492"/>
      <c r="BN78" s="514"/>
      <c r="BO78" s="492"/>
      <c r="BP78" s="514"/>
      <c r="BQ78" s="492"/>
      <c r="BR78" s="492"/>
      <c r="BS78" s="514"/>
      <c r="BT78" s="492"/>
      <c r="BU78" s="514"/>
      <c r="BV78" s="492"/>
      <c r="BW78" s="514"/>
      <c r="BX78" s="492"/>
      <c r="BY78" s="492"/>
      <c r="BZ78" s="514"/>
      <c r="CA78" s="492"/>
      <c r="CB78" s="514"/>
      <c r="CC78" s="492"/>
      <c r="CD78" s="514"/>
      <c r="CE78" s="492"/>
      <c r="CF78" s="492"/>
      <c r="CG78" s="514"/>
      <c r="CH78" s="492"/>
      <c r="CI78" s="514"/>
      <c r="CJ78" s="492"/>
      <c r="CK78" s="586"/>
      <c r="CL78" s="492"/>
      <c r="CM78" s="492"/>
      <c r="CN78" s="514"/>
      <c r="CO78" s="492"/>
      <c r="CP78" s="514"/>
      <c r="CQ78" s="492"/>
      <c r="CR78" s="514"/>
      <c r="CS78" s="492"/>
      <c r="CT78" s="492"/>
      <c r="CU78" s="586"/>
      <c r="CV78" s="431"/>
      <c r="CW78" s="586"/>
      <c r="CX78" s="431"/>
      <c r="CY78" s="586"/>
      <c r="CZ78" s="431"/>
      <c r="DA78" s="431"/>
      <c r="DB78" s="586"/>
      <c r="DC78" s="431"/>
      <c r="DD78" s="586"/>
      <c r="DE78" s="431"/>
      <c r="DF78" s="586"/>
      <c r="DG78" s="431"/>
      <c r="DH78" s="431"/>
      <c r="DI78" s="431"/>
      <c r="DJ78" s="431"/>
      <c r="DK78" s="431"/>
      <c r="DL78" s="431"/>
      <c r="DM78" s="431"/>
      <c r="DN78" s="431"/>
      <c r="DO78" s="431"/>
      <c r="DP78" s="431"/>
      <c r="DQ78" s="431"/>
      <c r="DR78" s="431"/>
      <c r="DS78" s="431"/>
      <c r="DT78" s="431"/>
      <c r="DU78" s="431"/>
      <c r="DV78" s="431"/>
      <c r="DW78" s="431"/>
      <c r="DX78" s="431"/>
      <c r="DY78" s="431"/>
      <c r="DZ78" s="431"/>
      <c r="EA78" s="431"/>
      <c r="EB78" s="431"/>
      <c r="EC78" s="431"/>
      <c r="ED78" s="431"/>
      <c r="EE78" s="431"/>
      <c r="EF78" s="431"/>
      <c r="EG78" s="431"/>
      <c r="EH78" s="431"/>
      <c r="EI78" s="431"/>
      <c r="EJ78" s="431"/>
      <c r="EK78" s="431"/>
      <c r="EL78" s="431"/>
      <c r="EM78" s="431"/>
      <c r="EN78" s="431"/>
      <c r="EO78" s="431"/>
      <c r="EP78" s="431"/>
      <c r="EQ78" s="431"/>
      <c r="ER78" s="431"/>
      <c r="ES78" s="431"/>
      <c r="ET78" s="431"/>
      <c r="EU78" s="431"/>
      <c r="EV78" s="431"/>
      <c r="EW78" s="431"/>
      <c r="EX78" s="431"/>
      <c r="EY78" s="431"/>
      <c r="EZ78" s="431"/>
      <c r="FA78" s="431"/>
      <c r="FB78" s="431"/>
      <c r="FC78" s="431"/>
      <c r="FD78" s="431"/>
      <c r="FE78" s="431"/>
      <c r="FF78" s="431"/>
      <c r="FG78" s="431"/>
      <c r="FH78" s="431"/>
      <c r="FI78" s="431"/>
      <c r="FJ78" s="431"/>
      <c r="FK78" s="431"/>
      <c r="FL78" s="431"/>
      <c r="FM78" s="431"/>
      <c r="FN78" s="431"/>
      <c r="FO78" s="431"/>
      <c r="FP78" s="431"/>
      <c r="FQ78" s="431"/>
      <c r="FR78" s="431"/>
      <c r="FS78" s="587"/>
    </row>
    <row r="79" spans="1:175" s="511" customFormat="1" ht="26.45" customHeight="1">
      <c r="A79" s="510"/>
      <c r="B79" s="616" t="s">
        <v>461</v>
      </c>
      <c r="C79" s="612" t="s">
        <v>462</v>
      </c>
      <c r="D79" s="613">
        <v>9506250</v>
      </c>
      <c r="F79" s="626">
        <v>45958</v>
      </c>
      <c r="G79" s="512"/>
      <c r="H79" s="150"/>
      <c r="I79" s="302"/>
      <c r="J79" s="150"/>
      <c r="K79" s="690"/>
      <c r="L79" s="150"/>
      <c r="M79" s="492"/>
      <c r="N79" s="493"/>
      <c r="O79" s="513"/>
      <c r="P79" s="493"/>
      <c r="Q79" s="513"/>
      <c r="R79" s="493"/>
      <c r="S79" s="687">
        <f t="shared" ref="S79:S88" si="5">D79</f>
        <v>9506250</v>
      </c>
      <c r="T79" s="493"/>
      <c r="U79" s="493"/>
      <c r="V79" s="513"/>
      <c r="W79" s="493"/>
      <c r="X79" s="694">
        <f t="shared" si="3"/>
        <v>9506250</v>
      </c>
      <c r="Y79" s="492"/>
      <c r="Z79" s="514"/>
      <c r="AA79" s="492"/>
      <c r="AB79" s="492"/>
      <c r="AC79" s="514"/>
      <c r="AD79" s="492"/>
      <c r="AE79" s="514"/>
      <c r="AF79" s="492"/>
      <c r="AG79" s="514"/>
      <c r="AH79" s="492"/>
      <c r="AI79" s="492"/>
      <c r="AJ79" s="514"/>
      <c r="AK79" s="492"/>
      <c r="AL79" s="514"/>
      <c r="AM79" s="492"/>
      <c r="AN79" s="514"/>
      <c r="AO79" s="492"/>
      <c r="AP79" s="492"/>
      <c r="AQ79" s="514"/>
      <c r="AR79" s="492"/>
      <c r="AS79" s="514"/>
      <c r="AT79" s="492"/>
      <c r="AU79" s="514"/>
      <c r="AV79" s="492"/>
      <c r="AW79" s="492"/>
      <c r="AX79" s="514"/>
      <c r="AY79" s="492"/>
      <c r="AZ79" s="514"/>
      <c r="BA79" s="492"/>
      <c r="BB79" s="514"/>
      <c r="BC79" s="492"/>
      <c r="BD79" s="492"/>
      <c r="BE79" s="514"/>
      <c r="BF79" s="492"/>
      <c r="BG79" s="514"/>
      <c r="BH79" s="492"/>
      <c r="BI79" s="514"/>
      <c r="BJ79" s="492"/>
      <c r="BK79" s="492"/>
      <c r="BL79" s="514"/>
      <c r="BM79" s="492"/>
      <c r="BN79" s="514"/>
      <c r="BO79" s="492"/>
      <c r="BP79" s="514"/>
      <c r="BQ79" s="492"/>
      <c r="BR79" s="492"/>
      <c r="BS79" s="514"/>
      <c r="BT79" s="492"/>
      <c r="BU79" s="514"/>
      <c r="BV79" s="492"/>
      <c r="BW79" s="514"/>
      <c r="BX79" s="492"/>
      <c r="BY79" s="492"/>
      <c r="BZ79" s="514"/>
      <c r="CA79" s="492"/>
      <c r="CB79" s="514"/>
      <c r="CC79" s="492"/>
      <c r="CD79" s="514"/>
      <c r="CE79" s="492"/>
      <c r="CF79" s="492"/>
      <c r="CG79" s="514"/>
      <c r="CH79" s="492"/>
      <c r="CI79" s="514"/>
      <c r="CJ79" s="492"/>
      <c r="CK79" s="586"/>
      <c r="CL79" s="492"/>
      <c r="CM79" s="492"/>
      <c r="CN79" s="514"/>
      <c r="CO79" s="492"/>
      <c r="CP79" s="514"/>
      <c r="CQ79" s="492"/>
      <c r="CR79" s="514"/>
      <c r="CS79" s="492"/>
      <c r="CT79" s="492"/>
      <c r="CU79" s="586"/>
      <c r="CV79" s="431"/>
      <c r="CW79" s="586"/>
      <c r="CX79" s="431"/>
      <c r="CY79" s="586"/>
      <c r="CZ79" s="431"/>
      <c r="DA79" s="431"/>
      <c r="DB79" s="586"/>
      <c r="DC79" s="431"/>
      <c r="DD79" s="586"/>
      <c r="DE79" s="431"/>
      <c r="DF79" s="586"/>
      <c r="DG79" s="431"/>
      <c r="DH79" s="431"/>
      <c r="DI79" s="431"/>
      <c r="DJ79" s="431"/>
      <c r="DK79" s="431"/>
      <c r="DL79" s="431"/>
      <c r="DM79" s="431"/>
      <c r="DN79" s="431"/>
      <c r="DO79" s="431"/>
      <c r="DP79" s="431"/>
      <c r="DQ79" s="431"/>
      <c r="DR79" s="431"/>
      <c r="DS79" s="431"/>
      <c r="DT79" s="431"/>
      <c r="DU79" s="431"/>
      <c r="DV79" s="431"/>
      <c r="DW79" s="431"/>
      <c r="DX79" s="431"/>
      <c r="DY79" s="431"/>
      <c r="DZ79" s="431"/>
      <c r="EA79" s="431"/>
      <c r="EB79" s="431"/>
      <c r="EC79" s="431"/>
      <c r="ED79" s="431"/>
      <c r="EE79" s="431"/>
      <c r="EF79" s="431"/>
      <c r="EG79" s="431"/>
      <c r="EH79" s="431"/>
      <c r="EI79" s="431"/>
      <c r="EJ79" s="431"/>
      <c r="EK79" s="431"/>
      <c r="EL79" s="431"/>
      <c r="EM79" s="431"/>
      <c r="EN79" s="431"/>
      <c r="EO79" s="431"/>
      <c r="EP79" s="431"/>
      <c r="EQ79" s="431"/>
      <c r="ER79" s="431"/>
      <c r="ES79" s="431"/>
      <c r="ET79" s="431"/>
      <c r="EU79" s="431"/>
      <c r="EV79" s="431"/>
      <c r="EW79" s="431"/>
      <c r="EX79" s="431"/>
      <c r="EY79" s="431"/>
      <c r="EZ79" s="431"/>
      <c r="FA79" s="431"/>
      <c r="FB79" s="431"/>
      <c r="FC79" s="431"/>
      <c r="FD79" s="431"/>
      <c r="FE79" s="431"/>
      <c r="FF79" s="431"/>
      <c r="FG79" s="431"/>
      <c r="FH79" s="431"/>
      <c r="FI79" s="431"/>
      <c r="FJ79" s="431"/>
      <c r="FK79" s="431"/>
      <c r="FL79" s="431"/>
      <c r="FM79" s="431"/>
      <c r="FN79" s="431"/>
      <c r="FO79" s="431"/>
      <c r="FP79" s="431"/>
      <c r="FQ79" s="431"/>
      <c r="FR79" s="431"/>
      <c r="FS79" s="587"/>
    </row>
    <row r="80" spans="1:175" s="511" customFormat="1" ht="26.45" customHeight="1">
      <c r="A80" s="510"/>
      <c r="B80" s="611" t="s">
        <v>403</v>
      </c>
      <c r="C80" s="615" t="s">
        <v>463</v>
      </c>
      <c r="D80" s="619">
        <v>782500</v>
      </c>
      <c r="F80" s="626">
        <v>45958</v>
      </c>
      <c r="G80" s="512"/>
      <c r="H80" s="150"/>
      <c r="I80" s="302"/>
      <c r="J80" s="150"/>
      <c r="K80" s="690"/>
      <c r="L80" s="150"/>
      <c r="M80" s="492"/>
      <c r="N80" s="493"/>
      <c r="O80" s="513"/>
      <c r="P80" s="493"/>
      <c r="Q80" s="513"/>
      <c r="R80" s="493"/>
      <c r="S80" s="687">
        <f t="shared" si="5"/>
        <v>782500</v>
      </c>
      <c r="T80" s="493"/>
      <c r="U80" s="493"/>
      <c r="V80" s="513"/>
      <c r="W80" s="493"/>
      <c r="X80" s="694">
        <f t="shared" si="3"/>
        <v>782500</v>
      </c>
      <c r="Y80" s="492"/>
      <c r="Z80" s="514"/>
      <c r="AA80" s="492"/>
      <c r="AB80" s="492"/>
      <c r="AC80" s="514"/>
      <c r="AD80" s="492"/>
      <c r="AE80" s="514"/>
      <c r="AF80" s="492"/>
      <c r="AG80" s="514"/>
      <c r="AH80" s="492"/>
      <c r="AI80" s="492"/>
      <c r="AJ80" s="514"/>
      <c r="AK80" s="492"/>
      <c r="AL80" s="514"/>
      <c r="AM80" s="492"/>
      <c r="AN80" s="514"/>
      <c r="AO80" s="492"/>
      <c r="AP80" s="492"/>
      <c r="AQ80" s="514"/>
      <c r="AR80" s="492"/>
      <c r="AS80" s="514"/>
      <c r="AT80" s="492"/>
      <c r="AU80" s="514"/>
      <c r="AV80" s="492"/>
      <c r="AW80" s="492"/>
      <c r="AX80" s="514"/>
      <c r="AY80" s="492"/>
      <c r="AZ80" s="514"/>
      <c r="BA80" s="492"/>
      <c r="BB80" s="514"/>
      <c r="BC80" s="492"/>
      <c r="BD80" s="492"/>
      <c r="BE80" s="514"/>
      <c r="BF80" s="492"/>
      <c r="BG80" s="514"/>
      <c r="BH80" s="492"/>
      <c r="BI80" s="514"/>
      <c r="BJ80" s="492"/>
      <c r="BK80" s="492"/>
      <c r="BL80" s="514"/>
      <c r="BM80" s="492"/>
      <c r="BN80" s="514"/>
      <c r="BO80" s="492"/>
      <c r="BP80" s="514"/>
      <c r="BQ80" s="492"/>
      <c r="BR80" s="492"/>
      <c r="BS80" s="514"/>
      <c r="BT80" s="492"/>
      <c r="BU80" s="514"/>
      <c r="BV80" s="492"/>
      <c r="BW80" s="514"/>
      <c r="BX80" s="492"/>
      <c r="BY80" s="492"/>
      <c r="BZ80" s="514"/>
      <c r="CA80" s="492"/>
      <c r="CB80" s="514"/>
      <c r="CC80" s="492"/>
      <c r="CD80" s="514"/>
      <c r="CE80" s="492"/>
      <c r="CF80" s="492"/>
      <c r="CG80" s="514"/>
      <c r="CH80" s="492"/>
      <c r="CI80" s="514"/>
      <c r="CJ80" s="492"/>
      <c r="CK80" s="586"/>
      <c r="CL80" s="492"/>
      <c r="CM80" s="492"/>
      <c r="CN80" s="514"/>
      <c r="CO80" s="492"/>
      <c r="CP80" s="514"/>
      <c r="CQ80" s="492"/>
      <c r="CR80" s="514"/>
      <c r="CS80" s="492"/>
      <c r="CT80" s="492"/>
      <c r="CU80" s="586"/>
      <c r="CV80" s="431"/>
      <c r="CW80" s="586"/>
      <c r="CX80" s="431"/>
      <c r="CY80" s="586"/>
      <c r="CZ80" s="431"/>
      <c r="DA80" s="431"/>
      <c r="DB80" s="586"/>
      <c r="DC80" s="431"/>
      <c r="DD80" s="586"/>
      <c r="DE80" s="431"/>
      <c r="DF80" s="586"/>
      <c r="DG80" s="431"/>
      <c r="DH80" s="431"/>
      <c r="DI80" s="431"/>
      <c r="DJ80" s="431"/>
      <c r="DK80" s="431"/>
      <c r="DL80" s="431"/>
      <c r="DM80" s="431"/>
      <c r="DN80" s="431"/>
      <c r="DO80" s="431"/>
      <c r="DP80" s="431"/>
      <c r="DQ80" s="431"/>
      <c r="DR80" s="431"/>
      <c r="DS80" s="431"/>
      <c r="DT80" s="431"/>
      <c r="DU80" s="431"/>
      <c r="DV80" s="431"/>
      <c r="DW80" s="431"/>
      <c r="DX80" s="431"/>
      <c r="DY80" s="431"/>
      <c r="DZ80" s="431"/>
      <c r="EA80" s="431"/>
      <c r="EB80" s="431"/>
      <c r="EC80" s="431"/>
      <c r="ED80" s="431"/>
      <c r="EE80" s="431"/>
      <c r="EF80" s="431"/>
      <c r="EG80" s="431"/>
      <c r="EH80" s="431"/>
      <c r="EI80" s="431"/>
      <c r="EJ80" s="431"/>
      <c r="EK80" s="431"/>
      <c r="EL80" s="431"/>
      <c r="EM80" s="431"/>
      <c r="EN80" s="431"/>
      <c r="EO80" s="431"/>
      <c r="EP80" s="431"/>
      <c r="EQ80" s="431"/>
      <c r="ER80" s="431"/>
      <c r="ES80" s="431"/>
      <c r="ET80" s="431"/>
      <c r="EU80" s="431"/>
      <c r="EV80" s="431"/>
      <c r="EW80" s="431"/>
      <c r="EX80" s="431"/>
      <c r="EY80" s="431"/>
      <c r="EZ80" s="431"/>
      <c r="FA80" s="431"/>
      <c r="FB80" s="431"/>
      <c r="FC80" s="431"/>
      <c r="FD80" s="431"/>
      <c r="FE80" s="431"/>
      <c r="FF80" s="431"/>
      <c r="FG80" s="431"/>
      <c r="FH80" s="431"/>
      <c r="FI80" s="431"/>
      <c r="FJ80" s="431"/>
      <c r="FK80" s="431"/>
      <c r="FL80" s="431"/>
      <c r="FM80" s="431"/>
      <c r="FN80" s="431"/>
      <c r="FO80" s="431"/>
      <c r="FP80" s="431"/>
      <c r="FQ80" s="431"/>
      <c r="FR80" s="431"/>
      <c r="FS80" s="587"/>
    </row>
    <row r="81" spans="1:175" s="511" customFormat="1" ht="26.45" customHeight="1">
      <c r="A81" s="510"/>
      <c r="B81" s="616" t="s">
        <v>403</v>
      </c>
      <c r="C81" s="615" t="s">
        <v>464</v>
      </c>
      <c r="D81" s="619">
        <v>1210000</v>
      </c>
      <c r="F81" s="626">
        <v>45958</v>
      </c>
      <c r="G81" s="512"/>
      <c r="H81" s="150"/>
      <c r="I81" s="302"/>
      <c r="J81" s="150"/>
      <c r="K81" s="690"/>
      <c r="L81" s="150"/>
      <c r="M81" s="492"/>
      <c r="N81" s="493"/>
      <c r="O81" s="513"/>
      <c r="P81" s="493"/>
      <c r="Q81" s="513"/>
      <c r="R81" s="493"/>
      <c r="S81" s="687">
        <f t="shared" si="5"/>
        <v>1210000</v>
      </c>
      <c r="T81" s="493"/>
      <c r="U81" s="493"/>
      <c r="V81" s="513"/>
      <c r="W81" s="493"/>
      <c r="X81" s="694">
        <f t="shared" si="3"/>
        <v>1210000</v>
      </c>
      <c r="Y81" s="492"/>
      <c r="Z81" s="514"/>
      <c r="AA81" s="492"/>
      <c r="AB81" s="492"/>
      <c r="AC81" s="514"/>
      <c r="AD81" s="492"/>
      <c r="AE81" s="514"/>
      <c r="AF81" s="492"/>
      <c r="AG81" s="514"/>
      <c r="AH81" s="492"/>
      <c r="AI81" s="492"/>
      <c r="AJ81" s="514"/>
      <c r="AK81" s="492"/>
      <c r="AL81" s="514"/>
      <c r="AM81" s="492"/>
      <c r="AN81" s="514"/>
      <c r="AO81" s="492"/>
      <c r="AP81" s="492"/>
      <c r="AQ81" s="514"/>
      <c r="AR81" s="492"/>
      <c r="AS81" s="514"/>
      <c r="AT81" s="492"/>
      <c r="AU81" s="514"/>
      <c r="AV81" s="492"/>
      <c r="AW81" s="492"/>
      <c r="AX81" s="514"/>
      <c r="AY81" s="492"/>
      <c r="AZ81" s="514"/>
      <c r="BA81" s="492"/>
      <c r="BB81" s="514"/>
      <c r="BC81" s="492"/>
      <c r="BD81" s="492"/>
      <c r="BE81" s="514"/>
      <c r="BF81" s="492"/>
      <c r="BG81" s="514"/>
      <c r="BH81" s="492"/>
      <c r="BI81" s="514"/>
      <c r="BJ81" s="492"/>
      <c r="BK81" s="492"/>
      <c r="BL81" s="514"/>
      <c r="BM81" s="492"/>
      <c r="BN81" s="514"/>
      <c r="BO81" s="492"/>
      <c r="BP81" s="514"/>
      <c r="BQ81" s="492"/>
      <c r="BR81" s="492"/>
      <c r="BS81" s="514"/>
      <c r="BT81" s="492"/>
      <c r="BU81" s="514"/>
      <c r="BV81" s="492"/>
      <c r="BW81" s="514"/>
      <c r="BX81" s="492"/>
      <c r="BY81" s="492"/>
      <c r="BZ81" s="514"/>
      <c r="CA81" s="492"/>
      <c r="CB81" s="514"/>
      <c r="CC81" s="492"/>
      <c r="CD81" s="514"/>
      <c r="CE81" s="492"/>
      <c r="CF81" s="492"/>
      <c r="CG81" s="514"/>
      <c r="CH81" s="492"/>
      <c r="CI81" s="514"/>
      <c r="CJ81" s="492"/>
      <c r="CK81" s="586"/>
      <c r="CL81" s="492"/>
      <c r="CM81" s="492"/>
      <c r="CN81" s="514"/>
      <c r="CO81" s="492"/>
      <c r="CP81" s="514"/>
      <c r="CQ81" s="492"/>
      <c r="CR81" s="514"/>
      <c r="CS81" s="492"/>
      <c r="CT81" s="492"/>
      <c r="CU81" s="586"/>
      <c r="CV81" s="431"/>
      <c r="CW81" s="586"/>
      <c r="CX81" s="431"/>
      <c r="CY81" s="586"/>
      <c r="CZ81" s="431"/>
      <c r="DA81" s="431"/>
      <c r="DB81" s="586"/>
      <c r="DC81" s="431"/>
      <c r="DD81" s="586"/>
      <c r="DE81" s="431"/>
      <c r="DF81" s="586"/>
      <c r="DG81" s="431"/>
      <c r="DH81" s="431"/>
      <c r="DI81" s="431"/>
      <c r="DJ81" s="431"/>
      <c r="DK81" s="431"/>
      <c r="DL81" s="431"/>
      <c r="DM81" s="431"/>
      <c r="DN81" s="431"/>
      <c r="DO81" s="431"/>
      <c r="DP81" s="431"/>
      <c r="DQ81" s="431"/>
      <c r="DR81" s="431"/>
      <c r="DS81" s="431"/>
      <c r="DT81" s="431"/>
      <c r="DU81" s="431"/>
      <c r="DV81" s="431"/>
      <c r="DW81" s="431"/>
      <c r="DX81" s="431"/>
      <c r="DY81" s="431"/>
      <c r="DZ81" s="431"/>
      <c r="EA81" s="431"/>
      <c r="EB81" s="431"/>
      <c r="EC81" s="431"/>
      <c r="ED81" s="431"/>
      <c r="EE81" s="431"/>
      <c r="EF81" s="431"/>
      <c r="EG81" s="431"/>
      <c r="EH81" s="431"/>
      <c r="EI81" s="431"/>
      <c r="EJ81" s="431"/>
      <c r="EK81" s="431"/>
      <c r="EL81" s="431"/>
      <c r="EM81" s="431"/>
      <c r="EN81" s="431"/>
      <c r="EO81" s="431"/>
      <c r="EP81" s="431"/>
      <c r="EQ81" s="431"/>
      <c r="ER81" s="431"/>
      <c r="ES81" s="431"/>
      <c r="ET81" s="431"/>
      <c r="EU81" s="431"/>
      <c r="EV81" s="431"/>
      <c r="EW81" s="431"/>
      <c r="EX81" s="431"/>
      <c r="EY81" s="431"/>
      <c r="EZ81" s="431"/>
      <c r="FA81" s="431"/>
      <c r="FB81" s="431"/>
      <c r="FC81" s="431"/>
      <c r="FD81" s="431"/>
      <c r="FE81" s="431"/>
      <c r="FF81" s="431"/>
      <c r="FG81" s="431"/>
      <c r="FH81" s="431"/>
      <c r="FI81" s="431"/>
      <c r="FJ81" s="431"/>
      <c r="FK81" s="431"/>
      <c r="FL81" s="431"/>
      <c r="FM81" s="431"/>
      <c r="FN81" s="431"/>
      <c r="FO81" s="431"/>
      <c r="FP81" s="431"/>
      <c r="FQ81" s="431"/>
      <c r="FR81" s="431"/>
      <c r="FS81" s="587"/>
    </row>
    <row r="82" spans="1:175" s="511" customFormat="1" ht="26.45" customHeight="1">
      <c r="A82" s="510"/>
      <c r="B82" s="611" t="s">
        <v>403</v>
      </c>
      <c r="C82" s="615" t="s">
        <v>465</v>
      </c>
      <c r="D82" s="619">
        <v>146250</v>
      </c>
      <c r="F82" s="626">
        <v>45958</v>
      </c>
      <c r="G82" s="512"/>
      <c r="H82" s="150"/>
      <c r="I82" s="302"/>
      <c r="J82" s="150"/>
      <c r="K82" s="690"/>
      <c r="L82" s="150"/>
      <c r="M82" s="492"/>
      <c r="N82" s="493"/>
      <c r="O82" s="513"/>
      <c r="P82" s="493"/>
      <c r="Q82" s="513"/>
      <c r="R82" s="493"/>
      <c r="S82" s="687">
        <f t="shared" si="5"/>
        <v>146250</v>
      </c>
      <c r="T82" s="493"/>
      <c r="U82" s="493"/>
      <c r="V82" s="513"/>
      <c r="W82" s="493"/>
      <c r="X82" s="694">
        <f t="shared" si="3"/>
        <v>146250</v>
      </c>
      <c r="Y82" s="492"/>
      <c r="Z82" s="514"/>
      <c r="AA82" s="492"/>
      <c r="AB82" s="492"/>
      <c r="AC82" s="514"/>
      <c r="AD82" s="492"/>
      <c r="AE82" s="514"/>
      <c r="AF82" s="492"/>
      <c r="AG82" s="514"/>
      <c r="AH82" s="492"/>
      <c r="AI82" s="492"/>
      <c r="AJ82" s="514"/>
      <c r="AK82" s="492"/>
      <c r="AL82" s="514"/>
      <c r="AM82" s="492"/>
      <c r="AN82" s="514"/>
      <c r="AO82" s="492"/>
      <c r="AP82" s="492"/>
      <c r="AQ82" s="514"/>
      <c r="AR82" s="492"/>
      <c r="AS82" s="514"/>
      <c r="AT82" s="492"/>
      <c r="AU82" s="514"/>
      <c r="AV82" s="492"/>
      <c r="AW82" s="492"/>
      <c r="AX82" s="514"/>
      <c r="AY82" s="492"/>
      <c r="AZ82" s="514"/>
      <c r="BA82" s="492"/>
      <c r="BB82" s="514"/>
      <c r="BC82" s="492"/>
      <c r="BD82" s="492"/>
      <c r="BE82" s="514"/>
      <c r="BF82" s="492"/>
      <c r="BG82" s="514"/>
      <c r="BH82" s="492"/>
      <c r="BI82" s="514"/>
      <c r="BJ82" s="492"/>
      <c r="BK82" s="492"/>
      <c r="BL82" s="514"/>
      <c r="BM82" s="492"/>
      <c r="BN82" s="514"/>
      <c r="BO82" s="492"/>
      <c r="BP82" s="514"/>
      <c r="BQ82" s="492"/>
      <c r="BR82" s="492"/>
      <c r="BS82" s="514"/>
      <c r="BT82" s="492"/>
      <c r="BU82" s="514"/>
      <c r="BV82" s="492"/>
      <c r="BW82" s="514"/>
      <c r="BX82" s="492"/>
      <c r="BY82" s="492"/>
      <c r="BZ82" s="514"/>
      <c r="CA82" s="492"/>
      <c r="CB82" s="514"/>
      <c r="CC82" s="492"/>
      <c r="CD82" s="514"/>
      <c r="CE82" s="492"/>
      <c r="CF82" s="492"/>
      <c r="CG82" s="514"/>
      <c r="CH82" s="492"/>
      <c r="CI82" s="514"/>
      <c r="CJ82" s="492"/>
      <c r="CK82" s="586"/>
      <c r="CL82" s="492"/>
      <c r="CM82" s="492"/>
      <c r="CN82" s="514"/>
      <c r="CO82" s="492"/>
      <c r="CP82" s="514"/>
      <c r="CQ82" s="492"/>
      <c r="CR82" s="514"/>
      <c r="CS82" s="492"/>
      <c r="CT82" s="492"/>
      <c r="CU82" s="586"/>
      <c r="CV82" s="431"/>
      <c r="CW82" s="586"/>
      <c r="CX82" s="431"/>
      <c r="CY82" s="586"/>
      <c r="CZ82" s="431"/>
      <c r="DA82" s="431"/>
      <c r="DB82" s="586"/>
      <c r="DC82" s="431"/>
      <c r="DD82" s="586"/>
      <c r="DE82" s="431"/>
      <c r="DF82" s="586"/>
      <c r="DG82" s="431"/>
      <c r="DH82" s="431"/>
      <c r="DI82" s="431"/>
      <c r="DJ82" s="431"/>
      <c r="DK82" s="431"/>
      <c r="DL82" s="431"/>
      <c r="DM82" s="431"/>
      <c r="DN82" s="431"/>
      <c r="DO82" s="431"/>
      <c r="DP82" s="431"/>
      <c r="DQ82" s="431"/>
      <c r="DR82" s="431"/>
      <c r="DS82" s="431"/>
      <c r="DT82" s="431"/>
      <c r="DU82" s="431"/>
      <c r="DV82" s="431"/>
      <c r="DW82" s="431"/>
      <c r="DX82" s="431"/>
      <c r="DY82" s="431"/>
      <c r="DZ82" s="431"/>
      <c r="EA82" s="431"/>
      <c r="EB82" s="431"/>
      <c r="EC82" s="431"/>
      <c r="ED82" s="431"/>
      <c r="EE82" s="431"/>
      <c r="EF82" s="431"/>
      <c r="EG82" s="431"/>
      <c r="EH82" s="431"/>
      <c r="EI82" s="431"/>
      <c r="EJ82" s="431"/>
      <c r="EK82" s="431"/>
      <c r="EL82" s="431"/>
      <c r="EM82" s="431"/>
      <c r="EN82" s="431"/>
      <c r="EO82" s="431"/>
      <c r="EP82" s="431"/>
      <c r="EQ82" s="431"/>
      <c r="ER82" s="431"/>
      <c r="ES82" s="431"/>
      <c r="ET82" s="431"/>
      <c r="EU82" s="431"/>
      <c r="EV82" s="431"/>
      <c r="EW82" s="431"/>
      <c r="EX82" s="431"/>
      <c r="EY82" s="431"/>
      <c r="EZ82" s="431"/>
      <c r="FA82" s="431"/>
      <c r="FB82" s="431"/>
      <c r="FC82" s="431"/>
      <c r="FD82" s="431"/>
      <c r="FE82" s="431"/>
      <c r="FF82" s="431"/>
      <c r="FG82" s="431"/>
      <c r="FH82" s="431"/>
      <c r="FI82" s="431"/>
      <c r="FJ82" s="431"/>
      <c r="FK82" s="431"/>
      <c r="FL82" s="431"/>
      <c r="FM82" s="431"/>
      <c r="FN82" s="431"/>
      <c r="FO82" s="431"/>
      <c r="FP82" s="431"/>
      <c r="FQ82" s="431"/>
      <c r="FR82" s="431"/>
      <c r="FS82" s="587"/>
    </row>
    <row r="83" spans="1:175" s="511" customFormat="1" ht="26.45" customHeight="1">
      <c r="A83" s="510"/>
      <c r="B83" s="620" t="s">
        <v>419</v>
      </c>
      <c r="C83" s="615" t="s">
        <v>466</v>
      </c>
      <c r="D83" s="613">
        <v>260000</v>
      </c>
      <c r="F83" s="626">
        <v>45958</v>
      </c>
      <c r="G83" s="512"/>
      <c r="H83" s="150"/>
      <c r="I83" s="302"/>
      <c r="J83" s="150"/>
      <c r="K83" s="690"/>
      <c r="L83" s="150"/>
      <c r="M83" s="492"/>
      <c r="N83" s="493"/>
      <c r="O83" s="513"/>
      <c r="P83" s="493"/>
      <c r="Q83" s="513"/>
      <c r="R83" s="493"/>
      <c r="S83" s="687">
        <f t="shared" si="5"/>
        <v>260000</v>
      </c>
      <c r="T83" s="493"/>
      <c r="U83" s="493"/>
      <c r="V83" s="513"/>
      <c r="W83" s="493"/>
      <c r="X83" s="694">
        <f t="shared" si="3"/>
        <v>260000</v>
      </c>
      <c r="Y83" s="492"/>
      <c r="Z83" s="514"/>
      <c r="AA83" s="492"/>
      <c r="AB83" s="492"/>
      <c r="AC83" s="514"/>
      <c r="AD83" s="492"/>
      <c r="AE83" s="514"/>
      <c r="AF83" s="492"/>
      <c r="AG83" s="514"/>
      <c r="AH83" s="492"/>
      <c r="AI83" s="492"/>
      <c r="AJ83" s="514"/>
      <c r="AK83" s="492"/>
      <c r="AL83" s="514"/>
      <c r="AM83" s="492"/>
      <c r="AN83" s="514"/>
      <c r="AO83" s="492"/>
      <c r="AP83" s="492"/>
      <c r="AQ83" s="514"/>
      <c r="AR83" s="492"/>
      <c r="AS83" s="514"/>
      <c r="AT83" s="492"/>
      <c r="AU83" s="514"/>
      <c r="AV83" s="492"/>
      <c r="AW83" s="492"/>
      <c r="AX83" s="514"/>
      <c r="AY83" s="492"/>
      <c r="AZ83" s="514"/>
      <c r="BA83" s="492"/>
      <c r="BB83" s="514"/>
      <c r="BC83" s="492"/>
      <c r="BD83" s="492"/>
      <c r="BE83" s="514"/>
      <c r="BF83" s="492"/>
      <c r="BG83" s="514"/>
      <c r="BH83" s="492"/>
      <c r="BI83" s="514"/>
      <c r="BJ83" s="492"/>
      <c r="BK83" s="492"/>
      <c r="BL83" s="514"/>
      <c r="BM83" s="492"/>
      <c r="BN83" s="514"/>
      <c r="BO83" s="492"/>
      <c r="BP83" s="514"/>
      <c r="BQ83" s="492"/>
      <c r="BR83" s="492"/>
      <c r="BS83" s="514"/>
      <c r="BT83" s="492"/>
      <c r="BU83" s="514"/>
      <c r="BV83" s="492"/>
      <c r="BW83" s="514"/>
      <c r="BX83" s="492"/>
      <c r="BY83" s="492"/>
      <c r="BZ83" s="514"/>
      <c r="CA83" s="492"/>
      <c r="CB83" s="514"/>
      <c r="CC83" s="492"/>
      <c r="CD83" s="514"/>
      <c r="CE83" s="492"/>
      <c r="CF83" s="492"/>
      <c r="CG83" s="514"/>
      <c r="CH83" s="492"/>
      <c r="CI83" s="514"/>
      <c r="CJ83" s="492"/>
      <c r="CK83" s="586"/>
      <c r="CL83" s="492"/>
      <c r="CM83" s="492"/>
      <c r="CN83" s="514"/>
      <c r="CO83" s="492"/>
      <c r="CP83" s="514"/>
      <c r="CQ83" s="492"/>
      <c r="CR83" s="514"/>
      <c r="CS83" s="492"/>
      <c r="CT83" s="492"/>
      <c r="CU83" s="586"/>
      <c r="CV83" s="431"/>
      <c r="CW83" s="586"/>
      <c r="CX83" s="431"/>
      <c r="CY83" s="586"/>
      <c r="CZ83" s="431"/>
      <c r="DA83" s="431"/>
      <c r="DB83" s="586"/>
      <c r="DC83" s="431"/>
      <c r="DD83" s="586"/>
      <c r="DE83" s="431"/>
      <c r="DF83" s="586"/>
      <c r="DG83" s="431"/>
      <c r="DH83" s="431"/>
      <c r="DI83" s="431"/>
      <c r="DJ83" s="431"/>
      <c r="DK83" s="431"/>
      <c r="DL83" s="431"/>
      <c r="DM83" s="431"/>
      <c r="DN83" s="431"/>
      <c r="DO83" s="431"/>
      <c r="DP83" s="431"/>
      <c r="DQ83" s="431"/>
      <c r="DR83" s="431"/>
      <c r="DS83" s="431"/>
      <c r="DT83" s="431"/>
      <c r="DU83" s="431"/>
      <c r="DV83" s="431"/>
      <c r="DW83" s="431"/>
      <c r="DX83" s="431"/>
      <c r="DY83" s="431"/>
      <c r="DZ83" s="431"/>
      <c r="EA83" s="431"/>
      <c r="EB83" s="431"/>
      <c r="EC83" s="431"/>
      <c r="ED83" s="431"/>
      <c r="EE83" s="431"/>
      <c r="EF83" s="431"/>
      <c r="EG83" s="431"/>
      <c r="EH83" s="431"/>
      <c r="EI83" s="431"/>
      <c r="EJ83" s="431"/>
      <c r="EK83" s="431"/>
      <c r="EL83" s="431"/>
      <c r="EM83" s="431"/>
      <c r="EN83" s="431"/>
      <c r="EO83" s="431"/>
      <c r="EP83" s="431"/>
      <c r="EQ83" s="431"/>
      <c r="ER83" s="431"/>
      <c r="ES83" s="431"/>
      <c r="ET83" s="431"/>
      <c r="EU83" s="431"/>
      <c r="EV83" s="431"/>
      <c r="EW83" s="431"/>
      <c r="EX83" s="431"/>
      <c r="EY83" s="431"/>
      <c r="EZ83" s="431"/>
      <c r="FA83" s="431"/>
      <c r="FB83" s="431"/>
      <c r="FC83" s="431"/>
      <c r="FD83" s="431"/>
      <c r="FE83" s="431"/>
      <c r="FF83" s="431"/>
      <c r="FG83" s="431"/>
      <c r="FH83" s="431"/>
      <c r="FI83" s="431"/>
      <c r="FJ83" s="431"/>
      <c r="FK83" s="431"/>
      <c r="FL83" s="431"/>
      <c r="FM83" s="431"/>
      <c r="FN83" s="431"/>
      <c r="FO83" s="431"/>
      <c r="FP83" s="431"/>
      <c r="FQ83" s="431"/>
      <c r="FR83" s="431"/>
      <c r="FS83" s="587"/>
    </row>
    <row r="84" spans="1:175" s="511" customFormat="1" ht="26.45" customHeight="1">
      <c r="A84" s="510"/>
      <c r="B84" s="621" t="s">
        <v>467</v>
      </c>
      <c r="C84" s="622" t="s">
        <v>468</v>
      </c>
      <c r="D84" s="494">
        <v>26995000</v>
      </c>
      <c r="F84" s="626">
        <v>45958</v>
      </c>
      <c r="G84" s="512"/>
      <c r="H84" s="150"/>
      <c r="I84" s="302"/>
      <c r="J84" s="150"/>
      <c r="K84" s="690"/>
      <c r="L84" s="150"/>
      <c r="M84" s="492"/>
      <c r="N84" s="493"/>
      <c r="O84" s="513"/>
      <c r="P84" s="493"/>
      <c r="Q84" s="513"/>
      <c r="R84" s="493"/>
      <c r="S84" s="687">
        <f>D84</f>
        <v>26995000</v>
      </c>
      <c r="T84" s="493"/>
      <c r="U84" s="493"/>
      <c r="V84" s="513"/>
      <c r="W84" s="493"/>
      <c r="X84" s="694">
        <f t="shared" si="3"/>
        <v>26995000</v>
      </c>
      <c r="Y84" s="492"/>
      <c r="Z84" s="514"/>
      <c r="AA84" s="492"/>
      <c r="AB84" s="492"/>
      <c r="AC84" s="514"/>
      <c r="AD84" s="492"/>
      <c r="AE84" s="514"/>
      <c r="AF84" s="492"/>
      <c r="AG84" s="514"/>
      <c r="AH84" s="492"/>
      <c r="AI84" s="492"/>
      <c r="AJ84" s="514"/>
      <c r="AK84" s="492"/>
      <c r="AL84" s="514"/>
      <c r="AM84" s="492"/>
      <c r="AN84" s="514"/>
      <c r="AO84" s="492"/>
      <c r="AP84" s="492"/>
      <c r="AQ84" s="514"/>
      <c r="AR84" s="492"/>
      <c r="AS84" s="514"/>
      <c r="AT84" s="492"/>
      <c r="AU84" s="514"/>
      <c r="AV84" s="492"/>
      <c r="AW84" s="492"/>
      <c r="AX84" s="514"/>
      <c r="AY84" s="492"/>
      <c r="AZ84" s="514"/>
      <c r="BA84" s="492"/>
      <c r="BB84" s="514"/>
      <c r="BC84" s="492"/>
      <c r="BD84" s="492"/>
      <c r="BE84" s="514"/>
      <c r="BF84" s="492"/>
      <c r="BG84" s="514"/>
      <c r="BH84" s="492"/>
      <c r="BI84" s="514"/>
      <c r="BJ84" s="492"/>
      <c r="BK84" s="492"/>
      <c r="BL84" s="514"/>
      <c r="BM84" s="492"/>
      <c r="BN84" s="514"/>
      <c r="BO84" s="492"/>
      <c r="BP84" s="514"/>
      <c r="BQ84" s="492"/>
      <c r="BR84" s="492"/>
      <c r="BS84" s="514"/>
      <c r="BT84" s="492"/>
      <c r="BU84" s="514"/>
      <c r="BV84" s="492"/>
      <c r="BW84" s="514"/>
      <c r="BX84" s="492"/>
      <c r="BY84" s="492"/>
      <c r="BZ84" s="514"/>
      <c r="CA84" s="492"/>
      <c r="CB84" s="514"/>
      <c r="CC84" s="492"/>
      <c r="CD84" s="514"/>
      <c r="CE84" s="492"/>
      <c r="CF84" s="492"/>
      <c r="CG84" s="514"/>
      <c r="CH84" s="492"/>
      <c r="CI84" s="514"/>
      <c r="CJ84" s="492"/>
      <c r="CK84" s="586"/>
      <c r="CL84" s="492"/>
      <c r="CM84" s="492"/>
      <c r="CN84" s="514"/>
      <c r="CO84" s="492"/>
      <c r="CP84" s="514"/>
      <c r="CQ84" s="492"/>
      <c r="CR84" s="514"/>
      <c r="CS84" s="492"/>
      <c r="CT84" s="492"/>
      <c r="CU84" s="586"/>
      <c r="CV84" s="431"/>
      <c r="CW84" s="586"/>
      <c r="CX84" s="431"/>
      <c r="CY84" s="586"/>
      <c r="CZ84" s="431"/>
      <c r="DA84" s="431"/>
      <c r="DB84" s="586"/>
      <c r="DC84" s="431"/>
      <c r="DD84" s="586"/>
      <c r="DE84" s="431"/>
      <c r="DF84" s="586"/>
      <c r="DG84" s="431"/>
      <c r="DH84" s="431"/>
      <c r="DI84" s="431"/>
      <c r="DJ84" s="431"/>
      <c r="DK84" s="431"/>
      <c r="DL84" s="431"/>
      <c r="DM84" s="431"/>
      <c r="DN84" s="431"/>
      <c r="DO84" s="431"/>
      <c r="DP84" s="431"/>
      <c r="DQ84" s="431"/>
      <c r="DR84" s="431"/>
      <c r="DS84" s="431"/>
      <c r="DT84" s="431"/>
      <c r="DU84" s="431"/>
      <c r="DV84" s="431"/>
      <c r="DW84" s="431"/>
      <c r="DX84" s="431"/>
      <c r="DY84" s="431"/>
      <c r="DZ84" s="431"/>
      <c r="EA84" s="431"/>
      <c r="EB84" s="431"/>
      <c r="EC84" s="431"/>
      <c r="ED84" s="431"/>
      <c r="EE84" s="431"/>
      <c r="EF84" s="431"/>
      <c r="EG84" s="431"/>
      <c r="EH84" s="431"/>
      <c r="EI84" s="431"/>
      <c r="EJ84" s="431"/>
      <c r="EK84" s="431"/>
      <c r="EL84" s="431"/>
      <c r="EM84" s="431"/>
      <c r="EN84" s="431"/>
      <c r="EO84" s="431"/>
      <c r="EP84" s="431"/>
      <c r="EQ84" s="431"/>
      <c r="ER84" s="431"/>
      <c r="ES84" s="431"/>
      <c r="ET84" s="431"/>
      <c r="EU84" s="431"/>
      <c r="EV84" s="431"/>
      <c r="EW84" s="431"/>
      <c r="EX84" s="431"/>
      <c r="EY84" s="431"/>
      <c r="EZ84" s="431"/>
      <c r="FA84" s="431"/>
      <c r="FB84" s="431"/>
      <c r="FC84" s="431"/>
      <c r="FD84" s="431"/>
      <c r="FE84" s="431"/>
      <c r="FF84" s="431"/>
      <c r="FG84" s="431"/>
      <c r="FH84" s="431"/>
      <c r="FI84" s="431"/>
      <c r="FJ84" s="431"/>
      <c r="FK84" s="431"/>
      <c r="FL84" s="431"/>
      <c r="FM84" s="431"/>
      <c r="FN84" s="431"/>
      <c r="FO84" s="431"/>
      <c r="FP84" s="431"/>
      <c r="FQ84" s="431"/>
      <c r="FR84" s="431"/>
      <c r="FS84" s="587"/>
    </row>
    <row r="85" spans="1:175" s="511" customFormat="1" ht="26.45" customHeight="1">
      <c r="A85" s="510"/>
      <c r="B85" s="623" t="s">
        <v>469</v>
      </c>
      <c r="C85" s="624" t="s">
        <v>470</v>
      </c>
      <c r="D85" s="613">
        <v>24800000</v>
      </c>
      <c r="F85" s="626">
        <v>45958</v>
      </c>
      <c r="G85" s="512"/>
      <c r="H85" s="150"/>
      <c r="I85" s="302"/>
      <c r="J85" s="150"/>
      <c r="K85" s="690"/>
      <c r="L85" s="150"/>
      <c r="M85" s="492"/>
      <c r="N85" s="493"/>
      <c r="O85" s="513"/>
      <c r="P85" s="493"/>
      <c r="Q85" s="513"/>
      <c r="R85" s="493"/>
      <c r="S85" s="687">
        <f t="shared" si="5"/>
        <v>24800000</v>
      </c>
      <c r="T85" s="493"/>
      <c r="U85" s="493"/>
      <c r="V85" s="513"/>
      <c r="W85" s="493"/>
      <c r="X85" s="694">
        <f t="shared" si="3"/>
        <v>24800000</v>
      </c>
      <c r="Y85" s="492"/>
      <c r="Z85" s="514"/>
      <c r="AA85" s="492"/>
      <c r="AB85" s="492"/>
      <c r="AC85" s="514"/>
      <c r="AD85" s="492"/>
      <c r="AE85" s="514"/>
      <c r="AF85" s="492"/>
      <c r="AG85" s="514"/>
      <c r="AH85" s="492"/>
      <c r="AI85" s="492"/>
      <c r="AJ85" s="514"/>
      <c r="AK85" s="492"/>
      <c r="AL85" s="514"/>
      <c r="AM85" s="492"/>
      <c r="AN85" s="514"/>
      <c r="AO85" s="492"/>
      <c r="AP85" s="492"/>
      <c r="AQ85" s="514"/>
      <c r="AR85" s="492"/>
      <c r="AS85" s="514"/>
      <c r="AT85" s="492"/>
      <c r="AU85" s="514"/>
      <c r="AV85" s="492"/>
      <c r="AW85" s="492"/>
      <c r="AX85" s="514"/>
      <c r="AY85" s="492"/>
      <c r="AZ85" s="514"/>
      <c r="BA85" s="492"/>
      <c r="BB85" s="514"/>
      <c r="BC85" s="492"/>
      <c r="BD85" s="492"/>
      <c r="BE85" s="514"/>
      <c r="BF85" s="492"/>
      <c r="BG85" s="514"/>
      <c r="BH85" s="492"/>
      <c r="BI85" s="514"/>
      <c r="BJ85" s="492"/>
      <c r="BK85" s="492"/>
      <c r="BL85" s="514"/>
      <c r="BM85" s="492"/>
      <c r="BN85" s="514"/>
      <c r="BO85" s="492"/>
      <c r="BP85" s="514"/>
      <c r="BQ85" s="492"/>
      <c r="BR85" s="492"/>
      <c r="BS85" s="514"/>
      <c r="BT85" s="492"/>
      <c r="BU85" s="514"/>
      <c r="BV85" s="492"/>
      <c r="BW85" s="514"/>
      <c r="BX85" s="492"/>
      <c r="BY85" s="492"/>
      <c r="BZ85" s="514"/>
      <c r="CA85" s="492"/>
      <c r="CB85" s="514"/>
      <c r="CC85" s="492"/>
      <c r="CD85" s="514"/>
      <c r="CE85" s="492"/>
      <c r="CF85" s="492"/>
      <c r="CG85" s="514"/>
      <c r="CH85" s="492"/>
      <c r="CI85" s="514"/>
      <c r="CJ85" s="492"/>
      <c r="CK85" s="586"/>
      <c r="CL85" s="492"/>
      <c r="CM85" s="492"/>
      <c r="CN85" s="514"/>
      <c r="CO85" s="492"/>
      <c r="CP85" s="514"/>
      <c r="CQ85" s="492"/>
      <c r="CR85" s="514"/>
      <c r="CS85" s="492"/>
      <c r="CT85" s="492"/>
      <c r="CU85" s="586"/>
      <c r="CV85" s="431"/>
      <c r="CW85" s="586"/>
      <c r="CX85" s="431"/>
      <c r="CY85" s="586"/>
      <c r="CZ85" s="431"/>
      <c r="DA85" s="431"/>
      <c r="DB85" s="586"/>
      <c r="DC85" s="431"/>
      <c r="DD85" s="586"/>
      <c r="DE85" s="431"/>
      <c r="DF85" s="586"/>
      <c r="DG85" s="431"/>
      <c r="DH85" s="431"/>
      <c r="DI85" s="431"/>
      <c r="DJ85" s="431"/>
      <c r="DK85" s="431"/>
      <c r="DL85" s="431"/>
      <c r="DM85" s="431"/>
      <c r="DN85" s="431"/>
      <c r="DO85" s="431"/>
      <c r="DP85" s="431"/>
      <c r="DQ85" s="431"/>
      <c r="DR85" s="431"/>
      <c r="DS85" s="431"/>
      <c r="DT85" s="431"/>
      <c r="DU85" s="431"/>
      <c r="DV85" s="431"/>
      <c r="DW85" s="431"/>
      <c r="DX85" s="431"/>
      <c r="DY85" s="431"/>
      <c r="DZ85" s="431"/>
      <c r="EA85" s="431"/>
      <c r="EB85" s="431"/>
      <c r="EC85" s="431"/>
      <c r="ED85" s="431"/>
      <c r="EE85" s="431"/>
      <c r="EF85" s="431"/>
      <c r="EG85" s="431"/>
      <c r="EH85" s="431"/>
      <c r="EI85" s="431"/>
      <c r="EJ85" s="431"/>
      <c r="EK85" s="431"/>
      <c r="EL85" s="431"/>
      <c r="EM85" s="431"/>
      <c r="EN85" s="431"/>
      <c r="EO85" s="431"/>
      <c r="EP85" s="431"/>
      <c r="EQ85" s="431"/>
      <c r="ER85" s="431"/>
      <c r="ES85" s="431"/>
      <c r="ET85" s="431"/>
      <c r="EU85" s="431"/>
      <c r="EV85" s="431"/>
      <c r="EW85" s="431"/>
      <c r="EX85" s="431"/>
      <c r="EY85" s="431"/>
      <c r="EZ85" s="431"/>
      <c r="FA85" s="431"/>
      <c r="FB85" s="431"/>
      <c r="FC85" s="431"/>
      <c r="FD85" s="431"/>
      <c r="FE85" s="431"/>
      <c r="FF85" s="431"/>
      <c r="FG85" s="431"/>
      <c r="FH85" s="431"/>
      <c r="FI85" s="431"/>
      <c r="FJ85" s="431"/>
      <c r="FK85" s="431"/>
      <c r="FL85" s="431"/>
      <c r="FM85" s="431"/>
      <c r="FN85" s="431"/>
      <c r="FO85" s="431"/>
      <c r="FP85" s="431"/>
      <c r="FQ85" s="431"/>
      <c r="FR85" s="431"/>
      <c r="FS85" s="587"/>
    </row>
    <row r="86" spans="1:175" s="511" customFormat="1" ht="26.45" customHeight="1">
      <c r="A86" s="510"/>
      <c r="B86" s="616" t="s">
        <v>373</v>
      </c>
      <c r="C86" s="624" t="s">
        <v>471</v>
      </c>
      <c r="D86" s="613">
        <v>11760000</v>
      </c>
      <c r="F86" s="626">
        <v>45958</v>
      </c>
      <c r="G86" s="512"/>
      <c r="H86" s="150"/>
      <c r="I86" s="302"/>
      <c r="J86" s="150"/>
      <c r="K86" s="690"/>
      <c r="L86" s="150"/>
      <c r="M86" s="492"/>
      <c r="N86" s="493"/>
      <c r="O86" s="513"/>
      <c r="P86" s="493"/>
      <c r="Q86" s="513"/>
      <c r="R86" s="493"/>
      <c r="S86" s="687">
        <f t="shared" si="5"/>
        <v>11760000</v>
      </c>
      <c r="T86" s="493"/>
      <c r="U86" s="493"/>
      <c r="V86" s="513"/>
      <c r="W86" s="493"/>
      <c r="X86" s="694">
        <f t="shared" si="3"/>
        <v>11760000</v>
      </c>
      <c r="Y86" s="492"/>
      <c r="Z86" s="514"/>
      <c r="AA86" s="492"/>
      <c r="AB86" s="492"/>
      <c r="AC86" s="514"/>
      <c r="AD86" s="492"/>
      <c r="AE86" s="514"/>
      <c r="AF86" s="492"/>
      <c r="AG86" s="514"/>
      <c r="AH86" s="492"/>
      <c r="AI86" s="492"/>
      <c r="AJ86" s="514"/>
      <c r="AK86" s="492"/>
      <c r="AL86" s="514"/>
      <c r="AM86" s="492"/>
      <c r="AN86" s="514"/>
      <c r="AO86" s="492"/>
      <c r="AP86" s="492"/>
      <c r="AQ86" s="514"/>
      <c r="AR86" s="492"/>
      <c r="AS86" s="514"/>
      <c r="AT86" s="492"/>
      <c r="AU86" s="514"/>
      <c r="AV86" s="492"/>
      <c r="AW86" s="492"/>
      <c r="AX86" s="514"/>
      <c r="AY86" s="492"/>
      <c r="AZ86" s="514"/>
      <c r="BA86" s="492"/>
      <c r="BB86" s="514"/>
      <c r="BC86" s="492"/>
      <c r="BD86" s="492"/>
      <c r="BE86" s="514"/>
      <c r="BF86" s="492"/>
      <c r="BG86" s="514"/>
      <c r="BH86" s="492"/>
      <c r="BI86" s="514"/>
      <c r="BJ86" s="492"/>
      <c r="BK86" s="492"/>
      <c r="BL86" s="514"/>
      <c r="BM86" s="492"/>
      <c r="BN86" s="514"/>
      <c r="BO86" s="492"/>
      <c r="BP86" s="514"/>
      <c r="BQ86" s="492"/>
      <c r="BR86" s="492"/>
      <c r="BS86" s="514"/>
      <c r="BT86" s="492"/>
      <c r="BU86" s="514"/>
      <c r="BV86" s="492"/>
      <c r="BW86" s="514"/>
      <c r="BX86" s="492"/>
      <c r="BY86" s="492"/>
      <c r="BZ86" s="514"/>
      <c r="CA86" s="492"/>
      <c r="CB86" s="514"/>
      <c r="CC86" s="492"/>
      <c r="CD86" s="514"/>
      <c r="CE86" s="492"/>
      <c r="CF86" s="492"/>
      <c r="CG86" s="514"/>
      <c r="CH86" s="492"/>
      <c r="CI86" s="514"/>
      <c r="CJ86" s="492"/>
      <c r="CK86" s="586"/>
      <c r="CL86" s="492"/>
      <c r="CM86" s="492"/>
      <c r="CN86" s="514"/>
      <c r="CO86" s="492"/>
      <c r="CP86" s="514"/>
      <c r="CQ86" s="492"/>
      <c r="CR86" s="514"/>
      <c r="CS86" s="492"/>
      <c r="CT86" s="492"/>
      <c r="CU86" s="586"/>
      <c r="CV86" s="431"/>
      <c r="CW86" s="586"/>
      <c r="CX86" s="431"/>
      <c r="CY86" s="586"/>
      <c r="CZ86" s="431"/>
      <c r="DA86" s="431"/>
      <c r="DB86" s="586"/>
      <c r="DC86" s="431"/>
      <c r="DD86" s="586"/>
      <c r="DE86" s="431"/>
      <c r="DF86" s="586"/>
      <c r="DG86" s="431"/>
      <c r="DH86" s="431"/>
      <c r="DI86" s="431"/>
      <c r="DJ86" s="431"/>
      <c r="DK86" s="431"/>
      <c r="DL86" s="431"/>
      <c r="DM86" s="431"/>
      <c r="DN86" s="431"/>
      <c r="DO86" s="431"/>
      <c r="DP86" s="431"/>
      <c r="DQ86" s="431"/>
      <c r="DR86" s="431"/>
      <c r="DS86" s="431"/>
      <c r="DT86" s="431"/>
      <c r="DU86" s="431"/>
      <c r="DV86" s="431"/>
      <c r="DW86" s="431"/>
      <c r="DX86" s="431"/>
      <c r="DY86" s="431"/>
      <c r="DZ86" s="431"/>
      <c r="EA86" s="431"/>
      <c r="EB86" s="431"/>
      <c r="EC86" s="431"/>
      <c r="ED86" s="431"/>
      <c r="EE86" s="431"/>
      <c r="EF86" s="431"/>
      <c r="EG86" s="431"/>
      <c r="EH86" s="431"/>
      <c r="EI86" s="431"/>
      <c r="EJ86" s="431"/>
      <c r="EK86" s="431"/>
      <c r="EL86" s="431"/>
      <c r="EM86" s="431"/>
      <c r="EN86" s="431"/>
      <c r="EO86" s="431"/>
      <c r="EP86" s="431"/>
      <c r="EQ86" s="431"/>
      <c r="ER86" s="431"/>
      <c r="ES86" s="431"/>
      <c r="ET86" s="431"/>
      <c r="EU86" s="431"/>
      <c r="EV86" s="431"/>
      <c r="EW86" s="431"/>
      <c r="EX86" s="431"/>
      <c r="EY86" s="431"/>
      <c r="EZ86" s="431"/>
      <c r="FA86" s="431"/>
      <c r="FB86" s="431"/>
      <c r="FC86" s="431"/>
      <c r="FD86" s="431"/>
      <c r="FE86" s="431"/>
      <c r="FF86" s="431"/>
      <c r="FG86" s="431"/>
      <c r="FH86" s="431"/>
      <c r="FI86" s="431"/>
      <c r="FJ86" s="431"/>
      <c r="FK86" s="431"/>
      <c r="FL86" s="431"/>
      <c r="FM86" s="431"/>
      <c r="FN86" s="431"/>
      <c r="FO86" s="431"/>
      <c r="FP86" s="431"/>
      <c r="FQ86" s="431"/>
      <c r="FR86" s="431"/>
      <c r="FS86" s="587"/>
    </row>
    <row r="87" spans="1:175" s="511" customFormat="1" ht="26.45" customHeight="1">
      <c r="A87" s="510"/>
      <c r="B87" s="616" t="s">
        <v>472</v>
      </c>
      <c r="C87" s="624" t="s">
        <v>473</v>
      </c>
      <c r="D87" s="613">
        <v>45000000</v>
      </c>
      <c r="F87" s="626">
        <v>45958</v>
      </c>
      <c r="G87" s="512"/>
      <c r="H87" s="150"/>
      <c r="I87" s="302"/>
      <c r="J87" s="150"/>
      <c r="K87" s="690"/>
      <c r="L87" s="150"/>
      <c r="M87" s="492"/>
      <c r="N87" s="493"/>
      <c r="O87" s="513"/>
      <c r="P87" s="493"/>
      <c r="Q87" s="513"/>
      <c r="R87" s="493"/>
      <c r="S87" s="687">
        <f t="shared" si="5"/>
        <v>45000000</v>
      </c>
      <c r="T87" s="493"/>
      <c r="U87" s="493"/>
      <c r="V87" s="513"/>
      <c r="W87" s="493"/>
      <c r="X87" s="694">
        <f t="shared" si="3"/>
        <v>45000000</v>
      </c>
      <c r="Y87" s="492"/>
      <c r="Z87" s="514"/>
      <c r="AA87" s="492"/>
      <c r="AB87" s="492"/>
      <c r="AC87" s="514"/>
      <c r="AD87" s="492"/>
      <c r="AE87" s="514"/>
      <c r="AF87" s="492"/>
      <c r="AG87" s="514"/>
      <c r="AH87" s="492"/>
      <c r="AI87" s="492"/>
      <c r="AJ87" s="514"/>
      <c r="AK87" s="492"/>
      <c r="AL87" s="514"/>
      <c r="AM87" s="492"/>
      <c r="AN87" s="514"/>
      <c r="AO87" s="492"/>
      <c r="AP87" s="492"/>
      <c r="AQ87" s="514"/>
      <c r="AR87" s="492"/>
      <c r="AS87" s="514"/>
      <c r="AT87" s="492"/>
      <c r="AU87" s="514"/>
      <c r="AV87" s="492"/>
      <c r="AW87" s="492"/>
      <c r="AX87" s="514"/>
      <c r="AY87" s="492"/>
      <c r="AZ87" s="514"/>
      <c r="BA87" s="492"/>
      <c r="BB87" s="514"/>
      <c r="BC87" s="492"/>
      <c r="BD87" s="492"/>
      <c r="BE87" s="514"/>
      <c r="BF87" s="492"/>
      <c r="BG87" s="514"/>
      <c r="BH87" s="492"/>
      <c r="BI87" s="514"/>
      <c r="BJ87" s="492"/>
      <c r="BK87" s="492"/>
      <c r="BL87" s="514"/>
      <c r="BM87" s="492"/>
      <c r="BN87" s="514"/>
      <c r="BO87" s="492"/>
      <c r="BP87" s="514"/>
      <c r="BQ87" s="492"/>
      <c r="BR87" s="492"/>
      <c r="BS87" s="514"/>
      <c r="BT87" s="492"/>
      <c r="BU87" s="514"/>
      <c r="BV87" s="492"/>
      <c r="BW87" s="514"/>
      <c r="BX87" s="492"/>
      <c r="BY87" s="492"/>
      <c r="BZ87" s="514"/>
      <c r="CA87" s="492"/>
      <c r="CB87" s="514"/>
      <c r="CC87" s="492"/>
      <c r="CD87" s="514"/>
      <c r="CE87" s="492"/>
      <c r="CF87" s="492"/>
      <c r="CG87" s="514"/>
      <c r="CH87" s="492"/>
      <c r="CI87" s="514"/>
      <c r="CJ87" s="492"/>
      <c r="CK87" s="586"/>
      <c r="CL87" s="492"/>
      <c r="CM87" s="492"/>
      <c r="CN87" s="514"/>
      <c r="CO87" s="492"/>
      <c r="CP87" s="514"/>
      <c r="CQ87" s="492"/>
      <c r="CR87" s="514"/>
      <c r="CS87" s="492"/>
      <c r="CT87" s="492"/>
      <c r="CU87" s="586"/>
      <c r="CV87" s="431"/>
      <c r="CW87" s="586"/>
      <c r="CX87" s="431"/>
      <c r="CY87" s="586"/>
      <c r="CZ87" s="431"/>
      <c r="DA87" s="431"/>
      <c r="DB87" s="586"/>
      <c r="DC87" s="431"/>
      <c r="DD87" s="586"/>
      <c r="DE87" s="431"/>
      <c r="DF87" s="586"/>
      <c r="DG87" s="431"/>
      <c r="DH87" s="431"/>
      <c r="DI87" s="431"/>
      <c r="DJ87" s="431"/>
      <c r="DK87" s="431"/>
      <c r="DL87" s="431"/>
      <c r="DM87" s="431"/>
      <c r="DN87" s="431"/>
      <c r="DO87" s="431"/>
      <c r="DP87" s="431"/>
      <c r="DQ87" s="431"/>
      <c r="DR87" s="431"/>
      <c r="DS87" s="431"/>
      <c r="DT87" s="431"/>
      <c r="DU87" s="431"/>
      <c r="DV87" s="431"/>
      <c r="DW87" s="431"/>
      <c r="DX87" s="431"/>
      <c r="DY87" s="431"/>
      <c r="DZ87" s="431"/>
      <c r="EA87" s="431"/>
      <c r="EB87" s="431"/>
      <c r="EC87" s="431"/>
      <c r="ED87" s="431"/>
      <c r="EE87" s="431"/>
      <c r="EF87" s="431"/>
      <c r="EG87" s="431"/>
      <c r="EH87" s="431"/>
      <c r="EI87" s="431"/>
      <c r="EJ87" s="431"/>
      <c r="EK87" s="431"/>
      <c r="EL87" s="431"/>
      <c r="EM87" s="431"/>
      <c r="EN87" s="431"/>
      <c r="EO87" s="431"/>
      <c r="EP87" s="431"/>
      <c r="EQ87" s="431"/>
      <c r="ER87" s="431"/>
      <c r="ES87" s="431"/>
      <c r="ET87" s="431"/>
      <c r="EU87" s="431"/>
      <c r="EV87" s="431"/>
      <c r="EW87" s="431"/>
      <c r="EX87" s="431"/>
      <c r="EY87" s="431"/>
      <c r="EZ87" s="431"/>
      <c r="FA87" s="431"/>
      <c r="FB87" s="431"/>
      <c r="FC87" s="431"/>
      <c r="FD87" s="431"/>
      <c r="FE87" s="431"/>
      <c r="FF87" s="431"/>
      <c r="FG87" s="431"/>
      <c r="FH87" s="431"/>
      <c r="FI87" s="431"/>
      <c r="FJ87" s="431"/>
      <c r="FK87" s="431"/>
      <c r="FL87" s="431"/>
      <c r="FM87" s="431"/>
      <c r="FN87" s="431"/>
      <c r="FO87" s="431"/>
      <c r="FP87" s="431"/>
      <c r="FQ87" s="431"/>
      <c r="FR87" s="431"/>
      <c r="FS87" s="587"/>
    </row>
    <row r="88" spans="1:175" s="511" customFormat="1" ht="26.45" customHeight="1">
      <c r="A88" s="510"/>
      <c r="B88" s="640" t="s">
        <v>288</v>
      </c>
      <c r="C88" s="624" t="s">
        <v>316</v>
      </c>
      <c r="D88" s="613">
        <v>33000000</v>
      </c>
      <c r="F88" s="626">
        <v>45958</v>
      </c>
      <c r="G88" s="512"/>
      <c r="H88" s="150"/>
      <c r="I88" s="302"/>
      <c r="J88" s="150"/>
      <c r="K88" s="690"/>
      <c r="L88" s="150"/>
      <c r="M88" s="492"/>
      <c r="N88" s="493"/>
      <c r="O88" s="513"/>
      <c r="P88" s="493"/>
      <c r="Q88" s="513"/>
      <c r="R88" s="493"/>
      <c r="S88" s="687">
        <f t="shared" si="5"/>
        <v>33000000</v>
      </c>
      <c r="T88" s="493"/>
      <c r="U88" s="493"/>
      <c r="V88" s="513"/>
      <c r="W88" s="493"/>
      <c r="X88" s="694">
        <f t="shared" si="3"/>
        <v>33000000</v>
      </c>
      <c r="Y88" s="492"/>
      <c r="Z88" s="514"/>
      <c r="AA88" s="492"/>
      <c r="AB88" s="492"/>
      <c r="AC88" s="514"/>
      <c r="AD88" s="492"/>
      <c r="AE88" s="514"/>
      <c r="AF88" s="492"/>
      <c r="AG88" s="514"/>
      <c r="AH88" s="492"/>
      <c r="AI88" s="492"/>
      <c r="AJ88" s="514"/>
      <c r="AK88" s="492"/>
      <c r="AL88" s="514"/>
      <c r="AM88" s="492"/>
      <c r="AN88" s="514"/>
      <c r="AO88" s="492"/>
      <c r="AP88" s="492"/>
      <c r="AQ88" s="514"/>
      <c r="AR88" s="492"/>
      <c r="AS88" s="514"/>
      <c r="AT88" s="492"/>
      <c r="AU88" s="514"/>
      <c r="AV88" s="492"/>
      <c r="AW88" s="492"/>
      <c r="AX88" s="514"/>
      <c r="AY88" s="492"/>
      <c r="AZ88" s="514"/>
      <c r="BA88" s="492"/>
      <c r="BB88" s="514"/>
      <c r="BC88" s="492"/>
      <c r="BD88" s="492"/>
      <c r="BE88" s="514"/>
      <c r="BF88" s="492"/>
      <c r="BG88" s="514"/>
      <c r="BH88" s="492"/>
      <c r="BI88" s="514"/>
      <c r="BJ88" s="492"/>
      <c r="BK88" s="492"/>
      <c r="BL88" s="514"/>
      <c r="BM88" s="492"/>
      <c r="BN88" s="514"/>
      <c r="BO88" s="492"/>
      <c r="BP88" s="514"/>
      <c r="BQ88" s="492"/>
      <c r="BR88" s="492"/>
      <c r="BS88" s="514"/>
      <c r="BT88" s="492"/>
      <c r="BU88" s="514"/>
      <c r="BV88" s="492"/>
      <c r="BW88" s="514"/>
      <c r="BX88" s="492"/>
      <c r="BY88" s="492"/>
      <c r="BZ88" s="514"/>
      <c r="CA88" s="492"/>
      <c r="CB88" s="514"/>
      <c r="CC88" s="492"/>
      <c r="CD88" s="514"/>
      <c r="CE88" s="492"/>
      <c r="CF88" s="492"/>
      <c r="CG88" s="514"/>
      <c r="CH88" s="492"/>
      <c r="CI88" s="514"/>
      <c r="CJ88" s="492"/>
      <c r="CK88" s="586"/>
      <c r="CL88" s="492"/>
      <c r="CM88" s="492"/>
      <c r="CN88" s="514"/>
      <c r="CO88" s="492"/>
      <c r="CP88" s="514"/>
      <c r="CQ88" s="492"/>
      <c r="CR88" s="514"/>
      <c r="CS88" s="492"/>
      <c r="CT88" s="492"/>
      <c r="CU88" s="586"/>
      <c r="CV88" s="431"/>
      <c r="CW88" s="586"/>
      <c r="CX88" s="431"/>
      <c r="CY88" s="586"/>
      <c r="CZ88" s="431"/>
      <c r="DA88" s="431"/>
      <c r="DB88" s="586"/>
      <c r="DC88" s="431"/>
      <c r="DD88" s="586"/>
      <c r="DE88" s="431"/>
      <c r="DF88" s="586"/>
      <c r="DG88" s="431"/>
      <c r="DH88" s="431"/>
      <c r="DI88" s="431"/>
      <c r="DJ88" s="431"/>
      <c r="DK88" s="431"/>
      <c r="DL88" s="431"/>
      <c r="DM88" s="431"/>
      <c r="DN88" s="431"/>
      <c r="DO88" s="431"/>
      <c r="DP88" s="431"/>
      <c r="DQ88" s="431"/>
      <c r="DR88" s="431"/>
      <c r="DS88" s="431"/>
      <c r="DT88" s="431"/>
      <c r="DU88" s="431"/>
      <c r="DV88" s="431"/>
      <c r="DW88" s="431"/>
      <c r="DX88" s="431"/>
      <c r="DY88" s="431"/>
      <c r="DZ88" s="431"/>
      <c r="EA88" s="431"/>
      <c r="EB88" s="431"/>
      <c r="EC88" s="431"/>
      <c r="ED88" s="431"/>
      <c r="EE88" s="431"/>
      <c r="EF88" s="431"/>
      <c r="EG88" s="431"/>
      <c r="EH88" s="431"/>
      <c r="EI88" s="431"/>
      <c r="EJ88" s="431"/>
      <c r="EK88" s="431"/>
      <c r="EL88" s="431"/>
      <c r="EM88" s="431"/>
      <c r="EN88" s="431"/>
      <c r="EO88" s="431"/>
      <c r="EP88" s="431"/>
      <c r="EQ88" s="431"/>
      <c r="ER88" s="431"/>
      <c r="ES88" s="431"/>
      <c r="ET88" s="431"/>
      <c r="EU88" s="431"/>
      <c r="EV88" s="431"/>
      <c r="EW88" s="431"/>
      <c r="EX88" s="431"/>
      <c r="EY88" s="431"/>
      <c r="EZ88" s="431"/>
      <c r="FA88" s="431"/>
      <c r="FB88" s="431"/>
      <c r="FC88" s="431"/>
      <c r="FD88" s="431"/>
      <c r="FE88" s="431"/>
      <c r="FF88" s="431"/>
      <c r="FG88" s="431"/>
      <c r="FH88" s="431"/>
      <c r="FI88" s="431"/>
      <c r="FJ88" s="431"/>
      <c r="FK88" s="431"/>
      <c r="FL88" s="431"/>
      <c r="FM88" s="431"/>
      <c r="FN88" s="431"/>
      <c r="FO88" s="431"/>
      <c r="FP88" s="431"/>
      <c r="FQ88" s="431"/>
      <c r="FR88" s="431"/>
      <c r="FS88" s="587"/>
    </row>
    <row r="89" spans="1:175" s="511" customFormat="1" ht="26.45" customHeight="1">
      <c r="A89" s="510"/>
      <c r="B89" s="640" t="s">
        <v>288</v>
      </c>
      <c r="C89" s="624" t="s">
        <v>474</v>
      </c>
      <c r="D89" s="613">
        <v>85000000</v>
      </c>
      <c r="F89" s="626">
        <v>45958</v>
      </c>
      <c r="G89" s="512"/>
      <c r="H89" s="150"/>
      <c r="I89" s="302"/>
      <c r="J89" s="150"/>
      <c r="K89" s="690"/>
      <c r="L89" s="150"/>
      <c r="M89" s="492"/>
      <c r="N89" s="493"/>
      <c r="O89" s="513"/>
      <c r="P89" s="493"/>
      <c r="Q89" s="513"/>
      <c r="R89" s="493"/>
      <c r="S89" s="687">
        <f>D89</f>
        <v>85000000</v>
      </c>
      <c r="T89" s="493"/>
      <c r="U89" s="493"/>
      <c r="V89" s="513"/>
      <c r="W89" s="493"/>
      <c r="X89" s="694">
        <f t="shared" si="3"/>
        <v>85000000</v>
      </c>
      <c r="Y89" s="492"/>
      <c r="Z89" s="514"/>
      <c r="AA89" s="492"/>
      <c r="AB89" s="492"/>
      <c r="AC89" s="514"/>
      <c r="AD89" s="492"/>
      <c r="AE89" s="514"/>
      <c r="AF89" s="492"/>
      <c r="AG89" s="514"/>
      <c r="AH89" s="492"/>
      <c r="AI89" s="492"/>
      <c r="AJ89" s="514"/>
      <c r="AK89" s="492"/>
      <c r="AL89" s="514"/>
      <c r="AM89" s="492"/>
      <c r="AN89" s="514"/>
      <c r="AO89" s="492"/>
      <c r="AP89" s="492"/>
      <c r="AQ89" s="514"/>
      <c r="AR89" s="492"/>
      <c r="AS89" s="514"/>
      <c r="AT89" s="492"/>
      <c r="AU89" s="514"/>
      <c r="AV89" s="492"/>
      <c r="AW89" s="492"/>
      <c r="AX89" s="514"/>
      <c r="AY89" s="492"/>
      <c r="AZ89" s="514"/>
      <c r="BA89" s="492"/>
      <c r="BB89" s="514"/>
      <c r="BC89" s="492"/>
      <c r="BD89" s="492"/>
      <c r="BE89" s="514"/>
      <c r="BF89" s="492"/>
      <c r="BG89" s="514"/>
      <c r="BH89" s="492"/>
      <c r="BI89" s="514"/>
      <c r="BJ89" s="492"/>
      <c r="BK89" s="492"/>
      <c r="BL89" s="514"/>
      <c r="BM89" s="492"/>
      <c r="BN89" s="514"/>
      <c r="BO89" s="492"/>
      <c r="BP89" s="514"/>
      <c r="BQ89" s="492"/>
      <c r="BR89" s="492"/>
      <c r="BS89" s="514"/>
      <c r="BT89" s="492"/>
      <c r="BU89" s="514"/>
      <c r="BV89" s="492"/>
      <c r="BW89" s="514"/>
      <c r="BX89" s="492"/>
      <c r="BY89" s="492"/>
      <c r="BZ89" s="514"/>
      <c r="CA89" s="492"/>
      <c r="CB89" s="514"/>
      <c r="CC89" s="492"/>
      <c r="CD89" s="514"/>
      <c r="CE89" s="492"/>
      <c r="CF89" s="492"/>
      <c r="CG89" s="514"/>
      <c r="CH89" s="492"/>
      <c r="CI89" s="514"/>
      <c r="CJ89" s="492"/>
      <c r="CK89" s="586"/>
      <c r="CL89" s="492"/>
      <c r="CM89" s="492"/>
      <c r="CN89" s="514"/>
      <c r="CO89" s="492"/>
      <c r="CP89" s="514"/>
      <c r="CQ89" s="492"/>
      <c r="CR89" s="514"/>
      <c r="CS89" s="492"/>
      <c r="CT89" s="492"/>
      <c r="CU89" s="586"/>
      <c r="CV89" s="431"/>
      <c r="CW89" s="586"/>
      <c r="CX89" s="431"/>
      <c r="CY89" s="586"/>
      <c r="CZ89" s="431"/>
      <c r="DA89" s="431"/>
      <c r="DB89" s="586"/>
      <c r="DC89" s="431"/>
      <c r="DD89" s="586"/>
      <c r="DE89" s="431"/>
      <c r="DF89" s="586"/>
      <c r="DG89" s="431"/>
      <c r="DH89" s="431"/>
      <c r="DI89" s="431"/>
      <c r="DJ89" s="431"/>
      <c r="DK89" s="431"/>
      <c r="DL89" s="431"/>
      <c r="DM89" s="431"/>
      <c r="DN89" s="431"/>
      <c r="DO89" s="431"/>
      <c r="DP89" s="431"/>
      <c r="DQ89" s="431"/>
      <c r="DR89" s="431"/>
      <c r="DS89" s="431"/>
      <c r="DT89" s="431"/>
      <c r="DU89" s="431"/>
      <c r="DV89" s="431"/>
      <c r="DW89" s="431"/>
      <c r="DX89" s="431"/>
      <c r="DY89" s="431"/>
      <c r="DZ89" s="431"/>
      <c r="EA89" s="431"/>
      <c r="EB89" s="431"/>
      <c r="EC89" s="431"/>
      <c r="ED89" s="431"/>
      <c r="EE89" s="431"/>
      <c r="EF89" s="431"/>
      <c r="EG89" s="431"/>
      <c r="EH89" s="431"/>
      <c r="EI89" s="431"/>
      <c r="EJ89" s="431"/>
      <c r="EK89" s="431"/>
      <c r="EL89" s="431"/>
      <c r="EM89" s="431"/>
      <c r="EN89" s="431"/>
      <c r="EO89" s="431"/>
      <c r="EP89" s="431"/>
      <c r="EQ89" s="431"/>
      <c r="ER89" s="431"/>
      <c r="ES89" s="431"/>
      <c r="ET89" s="431"/>
      <c r="EU89" s="431"/>
      <c r="EV89" s="431"/>
      <c r="EW89" s="431"/>
      <c r="EX89" s="431"/>
      <c r="EY89" s="431"/>
      <c r="EZ89" s="431"/>
      <c r="FA89" s="431"/>
      <c r="FB89" s="431"/>
      <c r="FC89" s="431"/>
      <c r="FD89" s="431"/>
      <c r="FE89" s="431"/>
      <c r="FF89" s="431"/>
      <c r="FG89" s="431"/>
      <c r="FH89" s="431"/>
      <c r="FI89" s="431"/>
      <c r="FJ89" s="431"/>
      <c r="FK89" s="431"/>
      <c r="FL89" s="431"/>
      <c r="FM89" s="431"/>
      <c r="FN89" s="431"/>
      <c r="FO89" s="431"/>
      <c r="FP89" s="431"/>
      <c r="FQ89" s="431"/>
      <c r="FR89" s="431"/>
      <c r="FS89" s="587"/>
    </row>
    <row r="90" spans="1:175" s="511" customFormat="1" ht="26.45" customHeight="1">
      <c r="A90" s="510"/>
      <c r="B90" s="616" t="s">
        <v>371</v>
      </c>
      <c r="C90" s="615" t="s">
        <v>372</v>
      </c>
      <c r="D90" s="613">
        <v>30877350</v>
      </c>
      <c r="F90" s="626">
        <v>45960</v>
      </c>
      <c r="G90" s="512"/>
      <c r="H90" s="150"/>
      <c r="I90" s="302"/>
      <c r="J90" s="150"/>
      <c r="K90" s="690"/>
      <c r="L90" s="150"/>
      <c r="M90" s="492"/>
      <c r="N90" s="493"/>
      <c r="O90" s="513"/>
      <c r="P90" s="493"/>
      <c r="Q90" s="513"/>
      <c r="R90" s="493"/>
      <c r="S90" s="513"/>
      <c r="T90" s="493"/>
      <c r="U90" s="685">
        <f>D90</f>
        <v>30877350</v>
      </c>
      <c r="V90" s="513"/>
      <c r="W90" s="493"/>
      <c r="X90" s="694">
        <f t="shared" si="3"/>
        <v>30877350</v>
      </c>
      <c r="Y90" s="492"/>
      <c r="Z90" s="514"/>
      <c r="AA90" s="492"/>
      <c r="AB90" s="492"/>
      <c r="AC90" s="514"/>
      <c r="AD90" s="492"/>
      <c r="AE90" s="514"/>
      <c r="AF90" s="492"/>
      <c r="AG90" s="514"/>
      <c r="AH90" s="492"/>
      <c r="AI90" s="492"/>
      <c r="AJ90" s="514"/>
      <c r="AK90" s="492"/>
      <c r="AL90" s="514"/>
      <c r="AM90" s="492"/>
      <c r="AN90" s="514"/>
      <c r="AO90" s="492"/>
      <c r="AP90" s="492"/>
      <c r="AQ90" s="514"/>
      <c r="AR90" s="492"/>
      <c r="AS90" s="514"/>
      <c r="AT90" s="492"/>
      <c r="AU90" s="514"/>
      <c r="AV90" s="492"/>
      <c r="AW90" s="492"/>
      <c r="AX90" s="514"/>
      <c r="AY90" s="492"/>
      <c r="AZ90" s="514"/>
      <c r="BA90" s="492"/>
      <c r="BB90" s="514"/>
      <c r="BC90" s="492"/>
      <c r="BD90" s="492"/>
      <c r="BE90" s="514"/>
      <c r="BF90" s="492"/>
      <c r="BG90" s="514"/>
      <c r="BH90" s="492"/>
      <c r="BI90" s="514"/>
      <c r="BJ90" s="492"/>
      <c r="BK90" s="492"/>
      <c r="BL90" s="514"/>
      <c r="BM90" s="492"/>
      <c r="BN90" s="514"/>
      <c r="BO90" s="492"/>
      <c r="BP90" s="514"/>
      <c r="BQ90" s="492"/>
      <c r="BR90" s="492"/>
      <c r="BS90" s="514"/>
      <c r="BT90" s="492"/>
      <c r="BU90" s="514"/>
      <c r="BV90" s="492"/>
      <c r="BW90" s="514"/>
      <c r="BX90" s="492"/>
      <c r="BY90" s="492"/>
      <c r="BZ90" s="514"/>
      <c r="CA90" s="492"/>
      <c r="CB90" s="514"/>
      <c r="CC90" s="492"/>
      <c r="CD90" s="514"/>
      <c r="CE90" s="492"/>
      <c r="CF90" s="492"/>
      <c r="CG90" s="514"/>
      <c r="CH90" s="492"/>
      <c r="CI90" s="514"/>
      <c r="CJ90" s="492"/>
      <c r="CK90" s="586"/>
      <c r="CL90" s="492"/>
      <c r="CM90" s="492"/>
      <c r="CN90" s="514"/>
      <c r="CO90" s="492"/>
      <c r="CP90" s="514"/>
      <c r="CQ90" s="492"/>
      <c r="CR90" s="514"/>
      <c r="CS90" s="492"/>
      <c r="CT90" s="492"/>
      <c r="CU90" s="586"/>
      <c r="CV90" s="431"/>
      <c r="CW90" s="586"/>
      <c r="CX90" s="431"/>
      <c r="CY90" s="586"/>
      <c r="CZ90" s="431"/>
      <c r="DA90" s="431"/>
      <c r="DB90" s="586"/>
      <c r="DC90" s="431"/>
      <c r="DD90" s="586"/>
      <c r="DE90" s="431"/>
      <c r="DF90" s="586"/>
      <c r="DG90" s="431"/>
      <c r="DH90" s="431"/>
      <c r="DI90" s="431"/>
      <c r="DJ90" s="431"/>
      <c r="DK90" s="431"/>
      <c r="DL90" s="431"/>
      <c r="DM90" s="431"/>
      <c r="DN90" s="431"/>
      <c r="DO90" s="431"/>
      <c r="DP90" s="431"/>
      <c r="DQ90" s="431"/>
      <c r="DR90" s="431"/>
      <c r="DS90" s="431"/>
      <c r="DT90" s="431"/>
      <c r="DU90" s="431"/>
      <c r="DV90" s="431"/>
      <c r="DW90" s="431"/>
      <c r="DX90" s="431"/>
      <c r="DY90" s="431"/>
      <c r="DZ90" s="431"/>
      <c r="EA90" s="431"/>
      <c r="EB90" s="431"/>
      <c r="EC90" s="431"/>
      <c r="ED90" s="431"/>
      <c r="EE90" s="431"/>
      <c r="EF90" s="431"/>
      <c r="EG90" s="431"/>
      <c r="EH90" s="431"/>
      <c r="EI90" s="431"/>
      <c r="EJ90" s="431"/>
      <c r="EK90" s="431"/>
      <c r="EL90" s="431"/>
      <c r="EM90" s="431"/>
      <c r="EN90" s="431"/>
      <c r="EO90" s="431"/>
      <c r="EP90" s="431"/>
      <c r="EQ90" s="431"/>
      <c r="ER90" s="431"/>
      <c r="ES90" s="431"/>
      <c r="ET90" s="431"/>
      <c r="EU90" s="431"/>
      <c r="EV90" s="431"/>
      <c r="EW90" s="431"/>
      <c r="EX90" s="431"/>
      <c r="EY90" s="431"/>
      <c r="EZ90" s="431"/>
      <c r="FA90" s="431"/>
      <c r="FB90" s="431"/>
      <c r="FC90" s="431"/>
      <c r="FD90" s="431"/>
      <c r="FE90" s="431"/>
      <c r="FF90" s="431"/>
      <c r="FG90" s="431"/>
      <c r="FH90" s="431"/>
      <c r="FI90" s="431"/>
      <c r="FJ90" s="431"/>
      <c r="FK90" s="431"/>
      <c r="FL90" s="431"/>
      <c r="FM90" s="431"/>
      <c r="FN90" s="431"/>
      <c r="FO90" s="431"/>
      <c r="FP90" s="431"/>
      <c r="FQ90" s="431"/>
      <c r="FR90" s="431"/>
      <c r="FS90" s="587"/>
    </row>
    <row r="91" spans="1:175" s="511" customFormat="1" ht="26.45" customHeight="1">
      <c r="A91" s="510"/>
      <c r="B91" s="616" t="s">
        <v>475</v>
      </c>
      <c r="C91" s="617" t="s">
        <v>476</v>
      </c>
      <c r="D91" s="613">
        <v>3153600</v>
      </c>
      <c r="F91" s="626">
        <v>45960</v>
      </c>
      <c r="G91" s="512"/>
      <c r="H91" s="150"/>
      <c r="I91" s="302"/>
      <c r="J91" s="150"/>
      <c r="K91" s="690"/>
      <c r="L91" s="150"/>
      <c r="M91" s="492"/>
      <c r="N91" s="493"/>
      <c r="O91" s="513"/>
      <c r="P91" s="493"/>
      <c r="Q91" s="513"/>
      <c r="R91" s="493"/>
      <c r="S91" s="513"/>
      <c r="T91" s="493"/>
      <c r="U91" s="685">
        <f t="shared" ref="U91:U102" si="6">D91</f>
        <v>3153600</v>
      </c>
      <c r="V91" s="513"/>
      <c r="W91" s="493"/>
      <c r="X91" s="694">
        <f t="shared" si="3"/>
        <v>3153600</v>
      </c>
      <c r="Y91" s="492"/>
      <c r="Z91" s="514"/>
      <c r="AA91" s="492"/>
      <c r="AB91" s="492"/>
      <c r="AC91" s="514"/>
      <c r="AD91" s="492"/>
      <c r="AE91" s="514"/>
      <c r="AF91" s="492"/>
      <c r="AG91" s="514"/>
      <c r="AH91" s="492"/>
      <c r="AI91" s="492"/>
      <c r="AJ91" s="514"/>
      <c r="AK91" s="492"/>
      <c r="AL91" s="514"/>
      <c r="AM91" s="492"/>
      <c r="AN91" s="514"/>
      <c r="AO91" s="492"/>
      <c r="AP91" s="492"/>
      <c r="AQ91" s="514"/>
      <c r="AR91" s="492"/>
      <c r="AS91" s="514"/>
      <c r="AT91" s="492"/>
      <c r="AU91" s="514"/>
      <c r="AV91" s="492"/>
      <c r="AW91" s="492"/>
      <c r="AX91" s="514"/>
      <c r="AY91" s="492"/>
      <c r="AZ91" s="514"/>
      <c r="BA91" s="492"/>
      <c r="BB91" s="514"/>
      <c r="BC91" s="492"/>
      <c r="BD91" s="492"/>
      <c r="BE91" s="514"/>
      <c r="BF91" s="492"/>
      <c r="BG91" s="514"/>
      <c r="BH91" s="492"/>
      <c r="BI91" s="514"/>
      <c r="BJ91" s="492"/>
      <c r="BK91" s="492"/>
      <c r="BL91" s="514"/>
      <c r="BM91" s="492"/>
      <c r="BN91" s="514"/>
      <c r="BO91" s="492"/>
      <c r="BP91" s="514"/>
      <c r="BQ91" s="492"/>
      <c r="BR91" s="492"/>
      <c r="BS91" s="514"/>
      <c r="BT91" s="492"/>
      <c r="BU91" s="514"/>
      <c r="BV91" s="492"/>
      <c r="BW91" s="514"/>
      <c r="BX91" s="492"/>
      <c r="BY91" s="492"/>
      <c r="BZ91" s="514"/>
      <c r="CA91" s="492"/>
      <c r="CB91" s="514"/>
      <c r="CC91" s="492"/>
      <c r="CD91" s="514"/>
      <c r="CE91" s="492"/>
      <c r="CF91" s="492"/>
      <c r="CG91" s="514"/>
      <c r="CH91" s="492"/>
      <c r="CI91" s="514"/>
      <c r="CJ91" s="492"/>
      <c r="CK91" s="586"/>
      <c r="CL91" s="492"/>
      <c r="CM91" s="492"/>
      <c r="CN91" s="514"/>
      <c r="CO91" s="492"/>
      <c r="CP91" s="514"/>
      <c r="CQ91" s="492"/>
      <c r="CR91" s="514"/>
      <c r="CS91" s="492"/>
      <c r="CT91" s="492"/>
      <c r="CU91" s="586"/>
      <c r="CV91" s="431"/>
      <c r="CW91" s="586"/>
      <c r="CX91" s="431"/>
      <c r="CY91" s="586"/>
      <c r="CZ91" s="431"/>
      <c r="DA91" s="431"/>
      <c r="DB91" s="586"/>
      <c r="DC91" s="431"/>
      <c r="DD91" s="586"/>
      <c r="DE91" s="431"/>
      <c r="DF91" s="586"/>
      <c r="DG91" s="431"/>
      <c r="DH91" s="431"/>
      <c r="DI91" s="431"/>
      <c r="DJ91" s="431"/>
      <c r="DK91" s="431"/>
      <c r="DL91" s="431"/>
      <c r="DM91" s="431"/>
      <c r="DN91" s="431"/>
      <c r="DO91" s="431"/>
      <c r="DP91" s="431"/>
      <c r="DQ91" s="431"/>
      <c r="DR91" s="431"/>
      <c r="DS91" s="431"/>
      <c r="DT91" s="431"/>
      <c r="DU91" s="431"/>
      <c r="DV91" s="431"/>
      <c r="DW91" s="431"/>
      <c r="DX91" s="431"/>
      <c r="DY91" s="431"/>
      <c r="DZ91" s="431"/>
      <c r="EA91" s="431"/>
      <c r="EB91" s="431"/>
      <c r="EC91" s="431"/>
      <c r="ED91" s="431"/>
      <c r="EE91" s="431"/>
      <c r="EF91" s="431"/>
      <c r="EG91" s="431"/>
      <c r="EH91" s="431"/>
      <c r="EI91" s="431"/>
      <c r="EJ91" s="431"/>
      <c r="EK91" s="431"/>
      <c r="EL91" s="431"/>
      <c r="EM91" s="431"/>
      <c r="EN91" s="431"/>
      <c r="EO91" s="431"/>
      <c r="EP91" s="431"/>
      <c r="EQ91" s="431"/>
      <c r="ER91" s="431"/>
      <c r="ES91" s="431"/>
      <c r="ET91" s="431"/>
      <c r="EU91" s="431"/>
      <c r="EV91" s="431"/>
      <c r="EW91" s="431"/>
      <c r="EX91" s="431"/>
      <c r="EY91" s="431"/>
      <c r="EZ91" s="431"/>
      <c r="FA91" s="431"/>
      <c r="FB91" s="431"/>
      <c r="FC91" s="431"/>
      <c r="FD91" s="431"/>
      <c r="FE91" s="431"/>
      <c r="FF91" s="431"/>
      <c r="FG91" s="431"/>
      <c r="FH91" s="431"/>
      <c r="FI91" s="431"/>
      <c r="FJ91" s="431"/>
      <c r="FK91" s="431"/>
      <c r="FL91" s="431"/>
      <c r="FM91" s="431"/>
      <c r="FN91" s="431"/>
      <c r="FO91" s="431"/>
      <c r="FP91" s="431"/>
      <c r="FQ91" s="431"/>
      <c r="FR91" s="431"/>
      <c r="FS91" s="587"/>
    </row>
    <row r="92" spans="1:175" s="511" customFormat="1" ht="26.45" customHeight="1">
      <c r="A92" s="510"/>
      <c r="B92" s="611" t="s">
        <v>403</v>
      </c>
      <c r="C92" s="615" t="s">
        <v>477</v>
      </c>
      <c r="D92" s="619">
        <v>800000</v>
      </c>
      <c r="F92" s="626">
        <v>45960</v>
      </c>
      <c r="G92" s="512"/>
      <c r="H92" s="150"/>
      <c r="I92" s="302"/>
      <c r="J92" s="150"/>
      <c r="K92" s="690"/>
      <c r="L92" s="150"/>
      <c r="M92" s="492"/>
      <c r="N92" s="493"/>
      <c r="O92" s="513"/>
      <c r="P92" s="493"/>
      <c r="Q92" s="513"/>
      <c r="R92" s="493"/>
      <c r="S92" s="513"/>
      <c r="T92" s="493"/>
      <c r="U92" s="685">
        <f t="shared" si="6"/>
        <v>800000</v>
      </c>
      <c r="V92" s="513"/>
      <c r="W92" s="493"/>
      <c r="X92" s="694">
        <f t="shared" si="3"/>
        <v>800000</v>
      </c>
      <c r="Y92" s="492"/>
      <c r="Z92" s="514"/>
      <c r="AA92" s="492"/>
      <c r="AB92" s="492"/>
      <c r="AC92" s="514"/>
      <c r="AD92" s="492"/>
      <c r="AE92" s="514"/>
      <c r="AF92" s="492"/>
      <c r="AG92" s="514"/>
      <c r="AH92" s="492"/>
      <c r="AI92" s="492"/>
      <c r="AJ92" s="514"/>
      <c r="AK92" s="492"/>
      <c r="AL92" s="514"/>
      <c r="AM92" s="492"/>
      <c r="AN92" s="514"/>
      <c r="AO92" s="492"/>
      <c r="AP92" s="492"/>
      <c r="AQ92" s="514"/>
      <c r="AR92" s="492"/>
      <c r="AS92" s="514"/>
      <c r="AT92" s="492"/>
      <c r="AU92" s="514"/>
      <c r="AV92" s="492"/>
      <c r="AW92" s="492"/>
      <c r="AX92" s="514"/>
      <c r="AY92" s="492"/>
      <c r="AZ92" s="514"/>
      <c r="BA92" s="492"/>
      <c r="BB92" s="514"/>
      <c r="BC92" s="492"/>
      <c r="BD92" s="492"/>
      <c r="BE92" s="514"/>
      <c r="BF92" s="492"/>
      <c r="BG92" s="514"/>
      <c r="BH92" s="492"/>
      <c r="BI92" s="514"/>
      <c r="BJ92" s="492"/>
      <c r="BK92" s="492"/>
      <c r="BL92" s="514"/>
      <c r="BM92" s="492"/>
      <c r="BN92" s="514"/>
      <c r="BO92" s="492"/>
      <c r="BP92" s="514"/>
      <c r="BQ92" s="492"/>
      <c r="BR92" s="492"/>
      <c r="BS92" s="514"/>
      <c r="BT92" s="492"/>
      <c r="BU92" s="514"/>
      <c r="BV92" s="492"/>
      <c r="BW92" s="514"/>
      <c r="BX92" s="492"/>
      <c r="BY92" s="492"/>
      <c r="BZ92" s="514"/>
      <c r="CA92" s="492"/>
      <c r="CB92" s="514"/>
      <c r="CC92" s="492"/>
      <c r="CD92" s="514"/>
      <c r="CE92" s="492"/>
      <c r="CF92" s="492"/>
      <c r="CG92" s="514"/>
      <c r="CH92" s="492"/>
      <c r="CI92" s="514"/>
      <c r="CJ92" s="492"/>
      <c r="CK92" s="586"/>
      <c r="CL92" s="492"/>
      <c r="CM92" s="492"/>
      <c r="CN92" s="514"/>
      <c r="CO92" s="492"/>
      <c r="CP92" s="514"/>
      <c r="CQ92" s="492"/>
      <c r="CR92" s="514"/>
      <c r="CS92" s="492"/>
      <c r="CT92" s="492"/>
      <c r="CU92" s="586"/>
      <c r="CV92" s="431"/>
      <c r="CW92" s="586"/>
      <c r="CX92" s="431"/>
      <c r="CY92" s="586"/>
      <c r="CZ92" s="431"/>
      <c r="DA92" s="431"/>
      <c r="DB92" s="586"/>
      <c r="DC92" s="431"/>
      <c r="DD92" s="586"/>
      <c r="DE92" s="431"/>
      <c r="DF92" s="586"/>
      <c r="DG92" s="431"/>
      <c r="DH92" s="431"/>
      <c r="DI92" s="431"/>
      <c r="DJ92" s="431"/>
      <c r="DK92" s="431"/>
      <c r="DL92" s="431"/>
      <c r="DM92" s="431"/>
      <c r="DN92" s="431"/>
      <c r="DO92" s="431"/>
      <c r="DP92" s="431"/>
      <c r="DQ92" s="431"/>
      <c r="DR92" s="431"/>
      <c r="DS92" s="431"/>
      <c r="DT92" s="431"/>
      <c r="DU92" s="431"/>
      <c r="DV92" s="431"/>
      <c r="DW92" s="431"/>
      <c r="DX92" s="431"/>
      <c r="DY92" s="431"/>
      <c r="DZ92" s="431"/>
      <c r="EA92" s="431"/>
      <c r="EB92" s="431"/>
      <c r="EC92" s="431"/>
      <c r="ED92" s="431"/>
      <c r="EE92" s="431"/>
      <c r="EF92" s="431"/>
      <c r="EG92" s="431"/>
      <c r="EH92" s="431"/>
      <c r="EI92" s="431"/>
      <c r="EJ92" s="431"/>
      <c r="EK92" s="431"/>
      <c r="EL92" s="431"/>
      <c r="EM92" s="431"/>
      <c r="EN92" s="431"/>
      <c r="EO92" s="431"/>
      <c r="EP92" s="431"/>
      <c r="EQ92" s="431"/>
      <c r="ER92" s="431"/>
      <c r="ES92" s="431"/>
      <c r="ET92" s="431"/>
      <c r="EU92" s="431"/>
      <c r="EV92" s="431"/>
      <c r="EW92" s="431"/>
      <c r="EX92" s="431"/>
      <c r="EY92" s="431"/>
      <c r="EZ92" s="431"/>
      <c r="FA92" s="431"/>
      <c r="FB92" s="431"/>
      <c r="FC92" s="431"/>
      <c r="FD92" s="431"/>
      <c r="FE92" s="431"/>
      <c r="FF92" s="431"/>
      <c r="FG92" s="431"/>
      <c r="FH92" s="431"/>
      <c r="FI92" s="431"/>
      <c r="FJ92" s="431"/>
      <c r="FK92" s="431"/>
      <c r="FL92" s="431"/>
      <c r="FM92" s="431"/>
      <c r="FN92" s="431"/>
      <c r="FO92" s="431"/>
      <c r="FP92" s="431"/>
      <c r="FQ92" s="431"/>
      <c r="FR92" s="431"/>
      <c r="FS92" s="587"/>
    </row>
    <row r="93" spans="1:175" s="511" customFormat="1" ht="26.45" customHeight="1">
      <c r="A93" s="679"/>
      <c r="B93" s="681" t="s">
        <v>401</v>
      </c>
      <c r="C93" s="682" t="s">
        <v>478</v>
      </c>
      <c r="D93" s="677">
        <v>456000</v>
      </c>
      <c r="F93" s="626">
        <v>45960</v>
      </c>
      <c r="G93" s="512"/>
      <c r="H93" s="150"/>
      <c r="I93" s="302"/>
      <c r="J93" s="150"/>
      <c r="K93" s="690"/>
      <c r="L93" s="150"/>
      <c r="M93" s="492"/>
      <c r="N93" s="493"/>
      <c r="O93" s="513"/>
      <c r="P93" s="493"/>
      <c r="Q93" s="513"/>
      <c r="R93" s="493"/>
      <c r="S93" s="513"/>
      <c r="T93" s="493"/>
      <c r="U93" s="685">
        <f t="shared" si="6"/>
        <v>456000</v>
      </c>
      <c r="V93" s="513"/>
      <c r="W93" s="493"/>
      <c r="X93" s="694">
        <f t="shared" si="3"/>
        <v>456000</v>
      </c>
      <c r="Y93" s="492"/>
      <c r="Z93" s="514"/>
      <c r="AA93" s="492"/>
      <c r="AB93" s="492"/>
      <c r="AC93" s="514"/>
      <c r="AD93" s="492"/>
      <c r="AE93" s="514"/>
      <c r="AF93" s="492"/>
      <c r="AG93" s="514"/>
      <c r="AH93" s="492"/>
      <c r="AI93" s="492"/>
      <c r="AJ93" s="514"/>
      <c r="AK93" s="492"/>
      <c r="AL93" s="514"/>
      <c r="AM93" s="492"/>
      <c r="AN93" s="514"/>
      <c r="AO93" s="492"/>
      <c r="AP93" s="492"/>
      <c r="AQ93" s="514"/>
      <c r="AR93" s="492"/>
      <c r="AS93" s="514"/>
      <c r="AT93" s="492"/>
      <c r="AU93" s="514"/>
      <c r="AV93" s="492"/>
      <c r="AW93" s="492"/>
      <c r="AX93" s="514"/>
      <c r="AY93" s="492"/>
      <c r="AZ93" s="514"/>
      <c r="BA93" s="492"/>
      <c r="BB93" s="514"/>
      <c r="BC93" s="492"/>
      <c r="BD93" s="492"/>
      <c r="BE93" s="514"/>
      <c r="BF93" s="492"/>
      <c r="BG93" s="514"/>
      <c r="BH93" s="492"/>
      <c r="BI93" s="514"/>
      <c r="BJ93" s="492"/>
      <c r="BK93" s="492"/>
      <c r="BL93" s="514"/>
      <c r="BM93" s="492"/>
      <c r="BN93" s="514"/>
      <c r="BO93" s="492"/>
      <c r="BP93" s="514"/>
      <c r="BQ93" s="492"/>
      <c r="BR93" s="492"/>
      <c r="BS93" s="514"/>
      <c r="BT93" s="492"/>
      <c r="BU93" s="514"/>
      <c r="BV93" s="492"/>
      <c r="BW93" s="514"/>
      <c r="BX93" s="492"/>
      <c r="BY93" s="492"/>
      <c r="BZ93" s="514"/>
      <c r="CA93" s="492"/>
      <c r="CB93" s="514"/>
      <c r="CC93" s="492"/>
      <c r="CD93" s="514"/>
      <c r="CE93" s="492"/>
      <c r="CF93" s="492"/>
      <c r="CG93" s="514"/>
      <c r="CH93" s="492"/>
      <c r="CI93" s="514"/>
      <c r="CJ93" s="492"/>
      <c r="CK93" s="586"/>
      <c r="CL93" s="492"/>
      <c r="CM93" s="492"/>
      <c r="CN93" s="514"/>
      <c r="CO93" s="492"/>
      <c r="CP93" s="514"/>
      <c r="CQ93" s="492"/>
      <c r="CR93" s="514"/>
      <c r="CS93" s="492"/>
      <c r="CT93" s="492"/>
      <c r="CU93" s="586"/>
      <c r="CV93" s="431"/>
      <c r="CW93" s="586"/>
      <c r="CX93" s="431"/>
      <c r="CY93" s="586"/>
      <c r="CZ93" s="431"/>
      <c r="DA93" s="431"/>
      <c r="DB93" s="586"/>
      <c r="DC93" s="431"/>
      <c r="DD93" s="586"/>
      <c r="DE93" s="431"/>
      <c r="DF93" s="586"/>
      <c r="DG93" s="431"/>
      <c r="DH93" s="431"/>
      <c r="DI93" s="431"/>
      <c r="DJ93" s="431"/>
      <c r="DK93" s="431"/>
      <c r="DL93" s="431"/>
      <c r="DM93" s="431"/>
      <c r="DN93" s="431"/>
      <c r="DO93" s="431"/>
      <c r="DP93" s="431"/>
      <c r="DQ93" s="431"/>
      <c r="DR93" s="431"/>
      <c r="DS93" s="431"/>
      <c r="DT93" s="431"/>
      <c r="DU93" s="431"/>
      <c r="DV93" s="431"/>
      <c r="DW93" s="431"/>
      <c r="DX93" s="431"/>
      <c r="DY93" s="431"/>
      <c r="DZ93" s="431"/>
      <c r="EA93" s="431"/>
      <c r="EB93" s="431"/>
      <c r="EC93" s="431"/>
      <c r="ED93" s="431"/>
      <c r="EE93" s="431"/>
      <c r="EF93" s="431"/>
      <c r="EG93" s="431"/>
      <c r="EH93" s="431"/>
      <c r="EI93" s="431"/>
      <c r="EJ93" s="431"/>
      <c r="EK93" s="431"/>
      <c r="EL93" s="431"/>
      <c r="EM93" s="431"/>
      <c r="EN93" s="431"/>
      <c r="EO93" s="431"/>
      <c r="EP93" s="431"/>
      <c r="EQ93" s="431"/>
      <c r="ER93" s="431"/>
      <c r="ES93" s="431"/>
      <c r="ET93" s="431"/>
      <c r="EU93" s="431"/>
      <c r="EV93" s="431"/>
      <c r="EW93" s="431"/>
      <c r="EX93" s="431"/>
      <c r="EY93" s="431"/>
      <c r="EZ93" s="431"/>
      <c r="FA93" s="431"/>
      <c r="FB93" s="431"/>
      <c r="FC93" s="431"/>
      <c r="FD93" s="431"/>
      <c r="FE93" s="431"/>
      <c r="FF93" s="431"/>
      <c r="FG93" s="431"/>
      <c r="FH93" s="431"/>
      <c r="FI93" s="431"/>
      <c r="FJ93" s="431"/>
      <c r="FK93" s="431"/>
      <c r="FL93" s="431"/>
      <c r="FM93" s="431"/>
      <c r="FN93" s="431"/>
      <c r="FO93" s="431"/>
      <c r="FP93" s="431"/>
      <c r="FQ93" s="431"/>
      <c r="FR93" s="431"/>
      <c r="FS93" s="587"/>
    </row>
    <row r="94" spans="1:175" s="511" customFormat="1" ht="26.45" customHeight="1">
      <c r="A94" s="679"/>
      <c r="B94" s="633" t="s">
        <v>401</v>
      </c>
      <c r="C94" s="633" t="s">
        <v>479</v>
      </c>
      <c r="D94" s="635">
        <v>419500</v>
      </c>
      <c r="F94" s="626">
        <v>45960</v>
      </c>
      <c r="G94" s="512"/>
      <c r="H94" s="150"/>
      <c r="I94" s="302"/>
      <c r="J94" s="150"/>
      <c r="K94" s="690"/>
      <c r="L94" s="150"/>
      <c r="M94" s="492"/>
      <c r="N94" s="493"/>
      <c r="O94" s="513"/>
      <c r="P94" s="493"/>
      <c r="Q94" s="513"/>
      <c r="R94" s="493"/>
      <c r="S94" s="513"/>
      <c r="T94" s="493"/>
      <c r="U94" s="685">
        <f t="shared" si="6"/>
        <v>419500</v>
      </c>
      <c r="V94" s="513"/>
      <c r="W94" s="493"/>
      <c r="X94" s="694">
        <f t="shared" si="3"/>
        <v>419500</v>
      </c>
      <c r="Y94" s="492"/>
      <c r="Z94" s="514"/>
      <c r="AA94" s="492"/>
      <c r="AB94" s="492"/>
      <c r="AC94" s="514"/>
      <c r="AD94" s="492"/>
      <c r="AE94" s="514"/>
      <c r="AF94" s="492"/>
      <c r="AG94" s="514"/>
      <c r="AH94" s="492"/>
      <c r="AI94" s="492"/>
      <c r="AJ94" s="514"/>
      <c r="AK94" s="492"/>
      <c r="AL94" s="514"/>
      <c r="AM94" s="492"/>
      <c r="AN94" s="514"/>
      <c r="AO94" s="492"/>
      <c r="AP94" s="492"/>
      <c r="AQ94" s="514"/>
      <c r="AR94" s="492"/>
      <c r="AS94" s="514"/>
      <c r="AT94" s="492"/>
      <c r="AU94" s="514"/>
      <c r="AV94" s="492"/>
      <c r="AW94" s="492"/>
      <c r="AX94" s="514"/>
      <c r="AY94" s="492"/>
      <c r="AZ94" s="514"/>
      <c r="BA94" s="492"/>
      <c r="BB94" s="514"/>
      <c r="BC94" s="492"/>
      <c r="BD94" s="492"/>
      <c r="BE94" s="514"/>
      <c r="BF94" s="492"/>
      <c r="BG94" s="514"/>
      <c r="BH94" s="492"/>
      <c r="BI94" s="514"/>
      <c r="BJ94" s="492"/>
      <c r="BK94" s="492"/>
      <c r="BL94" s="514"/>
      <c r="BM94" s="492"/>
      <c r="BN94" s="514"/>
      <c r="BO94" s="492"/>
      <c r="BP94" s="514"/>
      <c r="BQ94" s="492"/>
      <c r="BR94" s="492"/>
      <c r="BS94" s="514"/>
      <c r="BT94" s="492"/>
      <c r="BU94" s="514"/>
      <c r="BV94" s="492"/>
      <c r="BW94" s="514"/>
      <c r="BX94" s="492"/>
      <c r="BY94" s="492"/>
      <c r="BZ94" s="514"/>
      <c r="CA94" s="492"/>
      <c r="CB94" s="514"/>
      <c r="CC94" s="492"/>
      <c r="CD94" s="514"/>
      <c r="CE94" s="492"/>
      <c r="CF94" s="492"/>
      <c r="CG94" s="514"/>
      <c r="CH94" s="492"/>
      <c r="CI94" s="514"/>
      <c r="CJ94" s="492"/>
      <c r="CK94" s="586"/>
      <c r="CL94" s="492"/>
      <c r="CM94" s="492"/>
      <c r="CN94" s="514"/>
      <c r="CO94" s="492"/>
      <c r="CP94" s="514"/>
      <c r="CQ94" s="492"/>
      <c r="CR94" s="514"/>
      <c r="CS94" s="492"/>
      <c r="CT94" s="492"/>
      <c r="CU94" s="586"/>
      <c r="CV94" s="431"/>
      <c r="CW94" s="586"/>
      <c r="CX94" s="431"/>
      <c r="CY94" s="586"/>
      <c r="CZ94" s="431"/>
      <c r="DA94" s="431"/>
      <c r="DB94" s="586"/>
      <c r="DC94" s="431"/>
      <c r="DD94" s="586"/>
      <c r="DE94" s="431"/>
      <c r="DF94" s="586"/>
      <c r="DG94" s="431"/>
      <c r="DH94" s="431"/>
      <c r="DI94" s="431"/>
      <c r="DJ94" s="431"/>
      <c r="DK94" s="431"/>
      <c r="DL94" s="431"/>
      <c r="DM94" s="431"/>
      <c r="DN94" s="431"/>
      <c r="DO94" s="431"/>
      <c r="DP94" s="431"/>
      <c r="DQ94" s="431"/>
      <c r="DR94" s="431"/>
      <c r="DS94" s="431"/>
      <c r="DT94" s="431"/>
      <c r="DU94" s="431"/>
      <c r="DV94" s="431"/>
      <c r="DW94" s="431"/>
      <c r="DX94" s="431"/>
      <c r="DY94" s="431"/>
      <c r="DZ94" s="431"/>
      <c r="EA94" s="431"/>
      <c r="EB94" s="431"/>
      <c r="EC94" s="431"/>
      <c r="ED94" s="431"/>
      <c r="EE94" s="431"/>
      <c r="EF94" s="431"/>
      <c r="EG94" s="431"/>
      <c r="EH94" s="431"/>
      <c r="EI94" s="431"/>
      <c r="EJ94" s="431"/>
      <c r="EK94" s="431"/>
      <c r="EL94" s="431"/>
      <c r="EM94" s="431"/>
      <c r="EN94" s="431"/>
      <c r="EO94" s="431"/>
      <c r="EP94" s="431"/>
      <c r="EQ94" s="431"/>
      <c r="ER94" s="431"/>
      <c r="ES94" s="431"/>
      <c r="ET94" s="431"/>
      <c r="EU94" s="431"/>
      <c r="EV94" s="431"/>
      <c r="EW94" s="431"/>
      <c r="EX94" s="431"/>
      <c r="EY94" s="431"/>
      <c r="EZ94" s="431"/>
      <c r="FA94" s="431"/>
      <c r="FB94" s="431"/>
      <c r="FC94" s="431"/>
      <c r="FD94" s="431"/>
      <c r="FE94" s="431"/>
      <c r="FF94" s="431"/>
      <c r="FG94" s="431"/>
      <c r="FH94" s="431"/>
      <c r="FI94" s="431"/>
      <c r="FJ94" s="431"/>
      <c r="FK94" s="431"/>
      <c r="FL94" s="431"/>
      <c r="FM94" s="431"/>
      <c r="FN94" s="431"/>
      <c r="FO94" s="431"/>
      <c r="FP94" s="431"/>
      <c r="FQ94" s="431"/>
      <c r="FR94" s="431"/>
      <c r="FS94" s="587"/>
    </row>
    <row r="95" spans="1:175" s="511" customFormat="1" ht="26.45" customHeight="1">
      <c r="A95" s="679"/>
      <c r="B95" s="683" t="s">
        <v>401</v>
      </c>
      <c r="C95" s="682" t="s">
        <v>480</v>
      </c>
      <c r="D95" s="677">
        <v>570000</v>
      </c>
      <c r="F95" s="626">
        <v>45960</v>
      </c>
      <c r="G95" s="512"/>
      <c r="H95" s="150"/>
      <c r="I95" s="302"/>
      <c r="J95" s="150"/>
      <c r="K95" s="690"/>
      <c r="L95" s="150"/>
      <c r="M95" s="492"/>
      <c r="N95" s="493"/>
      <c r="O95" s="513"/>
      <c r="P95" s="493"/>
      <c r="Q95" s="513"/>
      <c r="R95" s="493"/>
      <c r="S95" s="513"/>
      <c r="T95" s="493"/>
      <c r="U95" s="685">
        <f t="shared" si="6"/>
        <v>570000</v>
      </c>
      <c r="V95" s="513"/>
      <c r="W95" s="493"/>
      <c r="X95" s="694">
        <f t="shared" si="3"/>
        <v>570000</v>
      </c>
      <c r="Y95" s="492"/>
      <c r="Z95" s="514"/>
      <c r="AA95" s="492"/>
      <c r="AB95" s="492"/>
      <c r="AC95" s="514"/>
      <c r="AD95" s="492"/>
      <c r="AE95" s="514"/>
      <c r="AF95" s="492"/>
      <c r="AG95" s="514"/>
      <c r="AH95" s="492"/>
      <c r="AI95" s="492"/>
      <c r="AJ95" s="514"/>
      <c r="AK95" s="492"/>
      <c r="AL95" s="514"/>
      <c r="AM95" s="492"/>
      <c r="AN95" s="514"/>
      <c r="AO95" s="492"/>
      <c r="AP95" s="492"/>
      <c r="AQ95" s="514"/>
      <c r="AR95" s="492"/>
      <c r="AS95" s="514"/>
      <c r="AT95" s="492"/>
      <c r="AU95" s="514"/>
      <c r="AV95" s="492"/>
      <c r="AW95" s="492"/>
      <c r="AX95" s="514"/>
      <c r="AY95" s="492"/>
      <c r="AZ95" s="514"/>
      <c r="BA95" s="492"/>
      <c r="BB95" s="514"/>
      <c r="BC95" s="492"/>
      <c r="BD95" s="492"/>
      <c r="BE95" s="514"/>
      <c r="BF95" s="492"/>
      <c r="BG95" s="514"/>
      <c r="BH95" s="492"/>
      <c r="BI95" s="514"/>
      <c r="BJ95" s="492"/>
      <c r="BK95" s="492"/>
      <c r="BL95" s="514"/>
      <c r="BM95" s="492"/>
      <c r="BN95" s="514"/>
      <c r="BO95" s="492"/>
      <c r="BP95" s="514"/>
      <c r="BQ95" s="492"/>
      <c r="BR95" s="492"/>
      <c r="BS95" s="514"/>
      <c r="BT95" s="492"/>
      <c r="BU95" s="514"/>
      <c r="BV95" s="492"/>
      <c r="BW95" s="514"/>
      <c r="BX95" s="492"/>
      <c r="BY95" s="492"/>
      <c r="BZ95" s="514"/>
      <c r="CA95" s="492"/>
      <c r="CB95" s="514"/>
      <c r="CC95" s="492"/>
      <c r="CD95" s="514"/>
      <c r="CE95" s="492"/>
      <c r="CF95" s="492"/>
      <c r="CG95" s="514"/>
      <c r="CH95" s="492"/>
      <c r="CI95" s="514"/>
      <c r="CJ95" s="492"/>
      <c r="CK95" s="586"/>
      <c r="CL95" s="492"/>
      <c r="CM95" s="492"/>
      <c r="CN95" s="514"/>
      <c r="CO95" s="492"/>
      <c r="CP95" s="514"/>
      <c r="CQ95" s="492"/>
      <c r="CR95" s="514"/>
      <c r="CS95" s="492"/>
      <c r="CT95" s="492"/>
      <c r="CU95" s="586"/>
      <c r="CV95" s="431"/>
      <c r="CW95" s="586"/>
      <c r="CX95" s="431"/>
      <c r="CY95" s="586"/>
      <c r="CZ95" s="431"/>
      <c r="DA95" s="431"/>
      <c r="DB95" s="586"/>
      <c r="DC95" s="431"/>
      <c r="DD95" s="586"/>
      <c r="DE95" s="431"/>
      <c r="DF95" s="586"/>
      <c r="DG95" s="431"/>
      <c r="DH95" s="431"/>
      <c r="DI95" s="431"/>
      <c r="DJ95" s="431"/>
      <c r="DK95" s="431"/>
      <c r="DL95" s="431"/>
      <c r="DM95" s="431"/>
      <c r="DN95" s="431"/>
      <c r="DO95" s="431"/>
      <c r="DP95" s="431"/>
      <c r="DQ95" s="431"/>
      <c r="DR95" s="431"/>
      <c r="DS95" s="431"/>
      <c r="DT95" s="431"/>
      <c r="DU95" s="431"/>
      <c r="DV95" s="431"/>
      <c r="DW95" s="431"/>
      <c r="DX95" s="431"/>
      <c r="DY95" s="431"/>
      <c r="DZ95" s="431"/>
      <c r="EA95" s="431"/>
      <c r="EB95" s="431"/>
      <c r="EC95" s="431"/>
      <c r="ED95" s="431"/>
      <c r="EE95" s="431"/>
      <c r="EF95" s="431"/>
      <c r="EG95" s="431"/>
      <c r="EH95" s="431"/>
      <c r="EI95" s="431"/>
      <c r="EJ95" s="431"/>
      <c r="EK95" s="431"/>
      <c r="EL95" s="431"/>
      <c r="EM95" s="431"/>
      <c r="EN95" s="431"/>
      <c r="EO95" s="431"/>
      <c r="EP95" s="431"/>
      <c r="EQ95" s="431"/>
      <c r="ER95" s="431"/>
      <c r="ES95" s="431"/>
      <c r="ET95" s="431"/>
      <c r="EU95" s="431"/>
      <c r="EV95" s="431"/>
      <c r="EW95" s="431"/>
      <c r="EX95" s="431"/>
      <c r="EY95" s="431"/>
      <c r="EZ95" s="431"/>
      <c r="FA95" s="431"/>
      <c r="FB95" s="431"/>
      <c r="FC95" s="431"/>
      <c r="FD95" s="431"/>
      <c r="FE95" s="431"/>
      <c r="FF95" s="431"/>
      <c r="FG95" s="431"/>
      <c r="FH95" s="431"/>
      <c r="FI95" s="431"/>
      <c r="FJ95" s="431"/>
      <c r="FK95" s="431"/>
      <c r="FL95" s="431"/>
      <c r="FM95" s="431"/>
      <c r="FN95" s="431"/>
      <c r="FO95" s="431"/>
      <c r="FP95" s="431"/>
      <c r="FQ95" s="431"/>
      <c r="FR95" s="431"/>
      <c r="FS95" s="587"/>
    </row>
    <row r="96" spans="1:175" s="511" customFormat="1" ht="26.45" customHeight="1">
      <c r="A96" s="679"/>
      <c r="B96" s="681" t="s">
        <v>481</v>
      </c>
      <c r="C96" s="682" t="s">
        <v>482</v>
      </c>
      <c r="D96" s="677">
        <v>6272000</v>
      </c>
      <c r="F96" s="626">
        <v>45960</v>
      </c>
      <c r="G96" s="512"/>
      <c r="H96" s="150"/>
      <c r="I96" s="302"/>
      <c r="J96" s="150"/>
      <c r="K96" s="690"/>
      <c r="L96" s="150"/>
      <c r="M96" s="492"/>
      <c r="N96" s="493"/>
      <c r="O96" s="513"/>
      <c r="P96" s="493"/>
      <c r="Q96" s="513"/>
      <c r="R96" s="493"/>
      <c r="S96" s="513"/>
      <c r="T96" s="493"/>
      <c r="U96" s="685">
        <f t="shared" si="6"/>
        <v>6272000</v>
      </c>
      <c r="V96" s="513"/>
      <c r="W96" s="493"/>
      <c r="X96" s="694">
        <f t="shared" si="3"/>
        <v>6272000</v>
      </c>
      <c r="Y96" s="492"/>
      <c r="Z96" s="514"/>
      <c r="AA96" s="492"/>
      <c r="AB96" s="492"/>
      <c r="AC96" s="514"/>
      <c r="AD96" s="492"/>
      <c r="AE96" s="514"/>
      <c r="AF96" s="492"/>
      <c r="AG96" s="514"/>
      <c r="AH96" s="492"/>
      <c r="AI96" s="492"/>
      <c r="AJ96" s="514"/>
      <c r="AK96" s="492"/>
      <c r="AL96" s="514"/>
      <c r="AM96" s="492"/>
      <c r="AN96" s="514"/>
      <c r="AO96" s="492"/>
      <c r="AP96" s="492"/>
      <c r="AQ96" s="514"/>
      <c r="AR96" s="492"/>
      <c r="AS96" s="514"/>
      <c r="AT96" s="492"/>
      <c r="AU96" s="514"/>
      <c r="AV96" s="492"/>
      <c r="AW96" s="492"/>
      <c r="AX96" s="514"/>
      <c r="AY96" s="492"/>
      <c r="AZ96" s="514"/>
      <c r="BA96" s="492"/>
      <c r="BB96" s="514"/>
      <c r="BC96" s="492"/>
      <c r="BD96" s="492"/>
      <c r="BE96" s="514"/>
      <c r="BF96" s="492"/>
      <c r="BG96" s="514"/>
      <c r="BH96" s="492"/>
      <c r="BI96" s="514"/>
      <c r="BJ96" s="492"/>
      <c r="BK96" s="492"/>
      <c r="BL96" s="514"/>
      <c r="BM96" s="492"/>
      <c r="BN96" s="514"/>
      <c r="BO96" s="492"/>
      <c r="BP96" s="514"/>
      <c r="BQ96" s="492"/>
      <c r="BR96" s="492"/>
      <c r="BS96" s="514"/>
      <c r="BT96" s="492"/>
      <c r="BU96" s="514"/>
      <c r="BV96" s="492"/>
      <c r="BW96" s="514"/>
      <c r="BX96" s="492"/>
      <c r="BY96" s="492"/>
      <c r="BZ96" s="514"/>
      <c r="CA96" s="492"/>
      <c r="CB96" s="514"/>
      <c r="CC96" s="492"/>
      <c r="CD96" s="514"/>
      <c r="CE96" s="492"/>
      <c r="CF96" s="492"/>
      <c r="CG96" s="514"/>
      <c r="CH96" s="492"/>
      <c r="CI96" s="514"/>
      <c r="CJ96" s="492"/>
      <c r="CK96" s="586"/>
      <c r="CL96" s="492"/>
      <c r="CM96" s="492"/>
      <c r="CN96" s="514"/>
      <c r="CO96" s="492"/>
      <c r="CP96" s="514"/>
      <c r="CQ96" s="492"/>
      <c r="CR96" s="514"/>
      <c r="CS96" s="492"/>
      <c r="CT96" s="492"/>
      <c r="CU96" s="586"/>
      <c r="CV96" s="431"/>
      <c r="CW96" s="586"/>
      <c r="CX96" s="431"/>
      <c r="CY96" s="586"/>
      <c r="CZ96" s="431"/>
      <c r="DA96" s="431"/>
      <c r="DB96" s="586"/>
      <c r="DC96" s="431"/>
      <c r="DD96" s="586"/>
      <c r="DE96" s="431"/>
      <c r="DF96" s="586"/>
      <c r="DG96" s="431"/>
      <c r="DH96" s="431"/>
      <c r="DI96" s="431"/>
      <c r="DJ96" s="431"/>
      <c r="DK96" s="431"/>
      <c r="DL96" s="431"/>
      <c r="DM96" s="431"/>
      <c r="DN96" s="431"/>
      <c r="DO96" s="431"/>
      <c r="DP96" s="431"/>
      <c r="DQ96" s="431"/>
      <c r="DR96" s="431"/>
      <c r="DS96" s="431"/>
      <c r="DT96" s="431"/>
      <c r="DU96" s="431"/>
      <c r="DV96" s="431"/>
      <c r="DW96" s="431"/>
      <c r="DX96" s="431"/>
      <c r="DY96" s="431"/>
      <c r="DZ96" s="431"/>
      <c r="EA96" s="431"/>
      <c r="EB96" s="431"/>
      <c r="EC96" s="431"/>
      <c r="ED96" s="431"/>
      <c r="EE96" s="431"/>
      <c r="EF96" s="431"/>
      <c r="EG96" s="431"/>
      <c r="EH96" s="431"/>
      <c r="EI96" s="431"/>
      <c r="EJ96" s="431"/>
      <c r="EK96" s="431"/>
      <c r="EL96" s="431"/>
      <c r="EM96" s="431"/>
      <c r="EN96" s="431"/>
      <c r="EO96" s="431"/>
      <c r="EP96" s="431"/>
      <c r="EQ96" s="431"/>
      <c r="ER96" s="431"/>
      <c r="ES96" s="431"/>
      <c r="ET96" s="431"/>
      <c r="EU96" s="431"/>
      <c r="EV96" s="431"/>
      <c r="EW96" s="431"/>
      <c r="EX96" s="431"/>
      <c r="EY96" s="431"/>
      <c r="EZ96" s="431"/>
      <c r="FA96" s="431"/>
      <c r="FB96" s="431"/>
      <c r="FC96" s="431"/>
      <c r="FD96" s="431"/>
      <c r="FE96" s="431"/>
      <c r="FF96" s="431"/>
      <c r="FG96" s="431"/>
      <c r="FH96" s="431"/>
      <c r="FI96" s="431"/>
      <c r="FJ96" s="431"/>
      <c r="FK96" s="431"/>
      <c r="FL96" s="431"/>
      <c r="FM96" s="431"/>
      <c r="FN96" s="431"/>
      <c r="FO96" s="431"/>
      <c r="FP96" s="431"/>
      <c r="FQ96" s="431"/>
      <c r="FR96" s="431"/>
      <c r="FS96" s="587"/>
    </row>
    <row r="97" spans="1:175" s="511" customFormat="1" ht="26.45" customHeight="1">
      <c r="A97" s="679"/>
      <c r="B97" s="681" t="s">
        <v>483</v>
      </c>
      <c r="C97" s="682" t="s">
        <v>484</v>
      </c>
      <c r="D97" s="677">
        <v>2254687</v>
      </c>
      <c r="F97" s="626">
        <v>45960</v>
      </c>
      <c r="G97" s="512"/>
      <c r="H97" s="150"/>
      <c r="I97" s="302"/>
      <c r="J97" s="150"/>
      <c r="K97" s="690"/>
      <c r="L97" s="150"/>
      <c r="M97" s="492"/>
      <c r="N97" s="493"/>
      <c r="O97" s="513"/>
      <c r="P97" s="493"/>
      <c r="Q97" s="513"/>
      <c r="R97" s="493"/>
      <c r="S97" s="513"/>
      <c r="T97" s="493"/>
      <c r="U97" s="685">
        <f>D97</f>
        <v>2254687</v>
      </c>
      <c r="V97" s="513"/>
      <c r="W97" s="493"/>
      <c r="X97" s="694">
        <f t="shared" si="3"/>
        <v>2254687</v>
      </c>
      <c r="Y97" s="492"/>
      <c r="Z97" s="514"/>
      <c r="AA97" s="492"/>
      <c r="AB97" s="492"/>
      <c r="AC97" s="514"/>
      <c r="AD97" s="492"/>
      <c r="AE97" s="514"/>
      <c r="AF97" s="492"/>
      <c r="AG97" s="514"/>
      <c r="AH97" s="492"/>
      <c r="AI97" s="492"/>
      <c r="AJ97" s="514"/>
      <c r="AK97" s="492"/>
      <c r="AL97" s="514"/>
      <c r="AM97" s="492"/>
      <c r="AN97" s="514"/>
      <c r="AO97" s="492"/>
      <c r="AP97" s="492"/>
      <c r="AQ97" s="514"/>
      <c r="AR97" s="492"/>
      <c r="AS97" s="514"/>
      <c r="AT97" s="492"/>
      <c r="AU97" s="514"/>
      <c r="AV97" s="492"/>
      <c r="AW97" s="492"/>
      <c r="AX97" s="514"/>
      <c r="AY97" s="492"/>
      <c r="AZ97" s="514"/>
      <c r="BA97" s="492"/>
      <c r="BB97" s="514"/>
      <c r="BC97" s="492"/>
      <c r="BD97" s="492"/>
      <c r="BE97" s="514"/>
      <c r="BF97" s="492"/>
      <c r="BG97" s="514"/>
      <c r="BH97" s="492"/>
      <c r="BI97" s="514"/>
      <c r="BJ97" s="492"/>
      <c r="BK97" s="492"/>
      <c r="BL97" s="514"/>
      <c r="BM97" s="492"/>
      <c r="BN97" s="514"/>
      <c r="BO97" s="492"/>
      <c r="BP97" s="514"/>
      <c r="BQ97" s="492"/>
      <c r="BR97" s="492"/>
      <c r="BS97" s="514"/>
      <c r="BT97" s="492"/>
      <c r="BU97" s="514"/>
      <c r="BV97" s="492"/>
      <c r="BW97" s="514"/>
      <c r="BX97" s="492"/>
      <c r="BY97" s="492"/>
      <c r="BZ97" s="514"/>
      <c r="CA97" s="492"/>
      <c r="CB97" s="514"/>
      <c r="CC97" s="492"/>
      <c r="CD97" s="514"/>
      <c r="CE97" s="492"/>
      <c r="CF97" s="492"/>
      <c r="CG97" s="514"/>
      <c r="CH97" s="492"/>
      <c r="CI97" s="514"/>
      <c r="CJ97" s="492"/>
      <c r="CK97" s="586"/>
      <c r="CL97" s="492"/>
      <c r="CM97" s="492"/>
      <c r="CN97" s="514"/>
      <c r="CO97" s="492"/>
      <c r="CP97" s="514"/>
      <c r="CQ97" s="492"/>
      <c r="CR97" s="514"/>
      <c r="CS97" s="492"/>
      <c r="CT97" s="492"/>
      <c r="CU97" s="586"/>
      <c r="CV97" s="431"/>
      <c r="CW97" s="586"/>
      <c r="CX97" s="431"/>
      <c r="CY97" s="586"/>
      <c r="CZ97" s="431"/>
      <c r="DA97" s="431"/>
      <c r="DB97" s="586"/>
      <c r="DC97" s="431"/>
      <c r="DD97" s="586"/>
      <c r="DE97" s="431"/>
      <c r="DF97" s="586"/>
      <c r="DG97" s="431"/>
      <c r="DH97" s="431"/>
      <c r="DI97" s="431"/>
      <c r="DJ97" s="431"/>
      <c r="DK97" s="431"/>
      <c r="DL97" s="431"/>
      <c r="DM97" s="431"/>
      <c r="DN97" s="431"/>
      <c r="DO97" s="431"/>
      <c r="DP97" s="431"/>
      <c r="DQ97" s="431"/>
      <c r="DR97" s="431"/>
      <c r="DS97" s="431"/>
      <c r="DT97" s="431"/>
      <c r="DU97" s="431"/>
      <c r="DV97" s="431"/>
      <c r="DW97" s="431"/>
      <c r="DX97" s="431"/>
      <c r="DY97" s="431"/>
      <c r="DZ97" s="431"/>
      <c r="EA97" s="431"/>
      <c r="EB97" s="431"/>
      <c r="EC97" s="431"/>
      <c r="ED97" s="431"/>
      <c r="EE97" s="431"/>
      <c r="EF97" s="431"/>
      <c r="EG97" s="431"/>
      <c r="EH97" s="431"/>
      <c r="EI97" s="431"/>
      <c r="EJ97" s="431"/>
      <c r="EK97" s="431"/>
      <c r="EL97" s="431"/>
      <c r="EM97" s="431"/>
      <c r="EN97" s="431"/>
      <c r="EO97" s="431"/>
      <c r="EP97" s="431"/>
      <c r="EQ97" s="431"/>
      <c r="ER97" s="431"/>
      <c r="ES97" s="431"/>
      <c r="ET97" s="431"/>
      <c r="EU97" s="431"/>
      <c r="EV97" s="431"/>
      <c r="EW97" s="431"/>
      <c r="EX97" s="431"/>
      <c r="EY97" s="431"/>
      <c r="EZ97" s="431"/>
      <c r="FA97" s="431"/>
      <c r="FB97" s="431"/>
      <c r="FC97" s="431"/>
      <c r="FD97" s="431"/>
      <c r="FE97" s="431"/>
      <c r="FF97" s="431"/>
      <c r="FG97" s="431"/>
      <c r="FH97" s="431"/>
      <c r="FI97" s="431"/>
      <c r="FJ97" s="431"/>
      <c r="FK97" s="431"/>
      <c r="FL97" s="431"/>
      <c r="FM97" s="431"/>
      <c r="FN97" s="431"/>
      <c r="FO97" s="431"/>
      <c r="FP97" s="431"/>
      <c r="FQ97" s="431"/>
      <c r="FR97" s="431"/>
      <c r="FS97" s="587"/>
    </row>
    <row r="98" spans="1:175" s="511" customFormat="1" ht="26.45" customHeight="1">
      <c r="A98" s="510"/>
      <c r="B98" s="680" t="s">
        <v>485</v>
      </c>
      <c r="C98" s="697" t="s">
        <v>486</v>
      </c>
      <c r="D98" s="632">
        <v>43600000</v>
      </c>
      <c r="F98" s="626">
        <v>45960</v>
      </c>
      <c r="G98" s="512"/>
      <c r="H98" s="150"/>
      <c r="I98" s="302"/>
      <c r="J98" s="150"/>
      <c r="K98" s="690"/>
      <c r="L98" s="150"/>
      <c r="M98" s="492"/>
      <c r="N98" s="493"/>
      <c r="O98" s="513"/>
      <c r="P98" s="493"/>
      <c r="Q98" s="513"/>
      <c r="R98" s="493"/>
      <c r="S98" s="513"/>
      <c r="T98" s="493"/>
      <c r="U98" s="685">
        <f t="shared" si="6"/>
        <v>43600000</v>
      </c>
      <c r="V98" s="513"/>
      <c r="W98" s="493"/>
      <c r="X98" s="694">
        <f t="shared" si="3"/>
        <v>43600000</v>
      </c>
      <c r="Y98" s="492"/>
      <c r="Z98" s="514"/>
      <c r="AA98" s="492"/>
      <c r="AB98" s="492"/>
      <c r="AC98" s="514"/>
      <c r="AD98" s="492"/>
      <c r="AE98" s="514"/>
      <c r="AF98" s="492"/>
      <c r="AG98" s="514"/>
      <c r="AH98" s="492"/>
      <c r="AI98" s="492"/>
      <c r="AJ98" s="514"/>
      <c r="AK98" s="492"/>
      <c r="AL98" s="514"/>
      <c r="AM98" s="492"/>
      <c r="AN98" s="514"/>
      <c r="AO98" s="492"/>
      <c r="AP98" s="492"/>
      <c r="AQ98" s="514"/>
      <c r="AR98" s="492"/>
      <c r="AS98" s="514"/>
      <c r="AT98" s="492"/>
      <c r="AU98" s="514"/>
      <c r="AV98" s="492"/>
      <c r="AW98" s="492"/>
      <c r="AX98" s="514"/>
      <c r="AY98" s="492"/>
      <c r="AZ98" s="514"/>
      <c r="BA98" s="492"/>
      <c r="BB98" s="514"/>
      <c r="BC98" s="492"/>
      <c r="BD98" s="492"/>
      <c r="BE98" s="514"/>
      <c r="BF98" s="492"/>
      <c r="BG98" s="514"/>
      <c r="BH98" s="492"/>
      <c r="BI98" s="514"/>
      <c r="BJ98" s="492"/>
      <c r="BK98" s="492"/>
      <c r="BL98" s="514"/>
      <c r="BM98" s="492"/>
      <c r="BN98" s="514"/>
      <c r="BO98" s="492"/>
      <c r="BP98" s="514"/>
      <c r="BQ98" s="492"/>
      <c r="BR98" s="492"/>
      <c r="BS98" s="514"/>
      <c r="BT98" s="492"/>
      <c r="BU98" s="514"/>
      <c r="BV98" s="492"/>
      <c r="BW98" s="514"/>
      <c r="BX98" s="492"/>
      <c r="BY98" s="492"/>
      <c r="BZ98" s="514"/>
      <c r="CA98" s="492"/>
      <c r="CB98" s="514"/>
      <c r="CC98" s="492"/>
      <c r="CD98" s="514"/>
      <c r="CE98" s="492"/>
      <c r="CF98" s="492"/>
      <c r="CG98" s="514"/>
      <c r="CH98" s="492"/>
      <c r="CI98" s="514"/>
      <c r="CJ98" s="492"/>
      <c r="CK98" s="586"/>
      <c r="CL98" s="492"/>
      <c r="CM98" s="492"/>
      <c r="CN98" s="514"/>
      <c r="CO98" s="492"/>
      <c r="CP98" s="514"/>
      <c r="CQ98" s="492"/>
      <c r="CR98" s="514"/>
      <c r="CS98" s="492"/>
      <c r="CT98" s="492"/>
      <c r="CU98" s="586"/>
      <c r="CV98" s="431"/>
      <c r="CW98" s="586"/>
      <c r="CX98" s="431"/>
      <c r="CY98" s="586"/>
      <c r="CZ98" s="431"/>
      <c r="DA98" s="431"/>
      <c r="DB98" s="586"/>
      <c r="DC98" s="431"/>
      <c r="DD98" s="586"/>
      <c r="DE98" s="431"/>
      <c r="DF98" s="586"/>
      <c r="DG98" s="431"/>
      <c r="DH98" s="431"/>
      <c r="DI98" s="431"/>
      <c r="DJ98" s="431"/>
      <c r="DK98" s="431"/>
      <c r="DL98" s="431"/>
      <c r="DM98" s="431"/>
      <c r="DN98" s="431"/>
      <c r="DO98" s="431"/>
      <c r="DP98" s="431"/>
      <c r="DQ98" s="431"/>
      <c r="DR98" s="431"/>
      <c r="DS98" s="431"/>
      <c r="DT98" s="431"/>
      <c r="DU98" s="431"/>
      <c r="DV98" s="431"/>
      <c r="DW98" s="431"/>
      <c r="DX98" s="431"/>
      <c r="DY98" s="431"/>
      <c r="DZ98" s="431"/>
      <c r="EA98" s="431"/>
      <c r="EB98" s="431"/>
      <c r="EC98" s="431"/>
      <c r="ED98" s="431"/>
      <c r="EE98" s="431"/>
      <c r="EF98" s="431"/>
      <c r="EG98" s="431"/>
      <c r="EH98" s="431"/>
      <c r="EI98" s="431"/>
      <c r="EJ98" s="431"/>
      <c r="EK98" s="431"/>
      <c r="EL98" s="431"/>
      <c r="EM98" s="431"/>
      <c r="EN98" s="431"/>
      <c r="EO98" s="431"/>
      <c r="EP98" s="431"/>
      <c r="EQ98" s="431"/>
      <c r="ER98" s="431"/>
      <c r="ES98" s="431"/>
      <c r="ET98" s="431"/>
      <c r="EU98" s="431"/>
      <c r="EV98" s="431"/>
      <c r="EW98" s="431"/>
      <c r="EX98" s="431"/>
      <c r="EY98" s="431"/>
      <c r="EZ98" s="431"/>
      <c r="FA98" s="431"/>
      <c r="FB98" s="431"/>
      <c r="FC98" s="431"/>
      <c r="FD98" s="431"/>
      <c r="FE98" s="431"/>
      <c r="FF98" s="431"/>
      <c r="FG98" s="431"/>
      <c r="FH98" s="431"/>
      <c r="FI98" s="431"/>
      <c r="FJ98" s="431"/>
      <c r="FK98" s="431"/>
      <c r="FL98" s="431"/>
      <c r="FM98" s="431"/>
      <c r="FN98" s="431"/>
      <c r="FO98" s="431"/>
      <c r="FP98" s="431"/>
      <c r="FQ98" s="431"/>
      <c r="FR98" s="431"/>
      <c r="FS98" s="587"/>
    </row>
    <row r="99" spans="1:175" s="511" customFormat="1" ht="26.45" customHeight="1">
      <c r="A99" s="730"/>
      <c r="B99" s="495" t="s">
        <v>288</v>
      </c>
      <c r="C99" s="516" t="s">
        <v>298</v>
      </c>
      <c r="D99" s="430">
        <v>24750000</v>
      </c>
      <c r="F99" s="626">
        <v>45960</v>
      </c>
      <c r="G99" s="731"/>
      <c r="H99" s="523"/>
      <c r="I99" s="351"/>
      <c r="J99" s="523"/>
      <c r="K99" s="690"/>
      <c r="L99" s="523"/>
      <c r="M99" s="492"/>
      <c r="N99" s="690"/>
      <c r="O99" s="732"/>
      <c r="P99" s="690"/>
      <c r="Q99" s="732"/>
      <c r="R99" s="690"/>
      <c r="S99" s="732"/>
      <c r="T99" s="690"/>
      <c r="U99" s="691">
        <f t="shared" si="6"/>
        <v>24750000</v>
      </c>
      <c r="V99" s="732"/>
      <c r="W99" s="690"/>
      <c r="X99" s="733">
        <f t="shared" si="3"/>
        <v>24750000</v>
      </c>
      <c r="Y99" s="492"/>
      <c r="Z99" s="514"/>
      <c r="AA99" s="492"/>
      <c r="AB99" s="492"/>
      <c r="AC99" s="514"/>
      <c r="AD99" s="492"/>
      <c r="AE99" s="514"/>
      <c r="AF99" s="492"/>
      <c r="AG99" s="514"/>
      <c r="AH99" s="492"/>
      <c r="AI99" s="492"/>
      <c r="AJ99" s="514"/>
      <c r="AK99" s="492"/>
      <c r="AL99" s="514"/>
      <c r="AM99" s="492"/>
      <c r="AN99" s="514"/>
      <c r="AO99" s="492"/>
      <c r="AP99" s="492"/>
      <c r="AQ99" s="514"/>
      <c r="AR99" s="492"/>
      <c r="AS99" s="514"/>
      <c r="AT99" s="492"/>
      <c r="AU99" s="514"/>
      <c r="AV99" s="492"/>
      <c r="AW99" s="492"/>
      <c r="AX99" s="514"/>
      <c r="AY99" s="492"/>
      <c r="AZ99" s="514"/>
      <c r="BA99" s="492"/>
      <c r="BB99" s="514"/>
      <c r="BC99" s="492"/>
      <c r="BD99" s="492"/>
      <c r="BE99" s="514"/>
      <c r="BF99" s="492"/>
      <c r="BG99" s="514"/>
      <c r="BH99" s="492"/>
      <c r="BI99" s="514"/>
      <c r="BJ99" s="492"/>
      <c r="BK99" s="492"/>
      <c r="BL99" s="514"/>
      <c r="BM99" s="492"/>
      <c r="BN99" s="514"/>
      <c r="BO99" s="492"/>
      <c r="BP99" s="514"/>
      <c r="BQ99" s="492"/>
      <c r="BR99" s="492"/>
      <c r="BS99" s="514"/>
      <c r="BT99" s="492"/>
      <c r="BU99" s="514"/>
      <c r="BV99" s="492"/>
      <c r="BW99" s="514"/>
      <c r="BX99" s="492"/>
      <c r="BY99" s="492"/>
      <c r="BZ99" s="514"/>
      <c r="CA99" s="492"/>
      <c r="CB99" s="514"/>
      <c r="CC99" s="492"/>
      <c r="CD99" s="514"/>
      <c r="CE99" s="492"/>
      <c r="CF99" s="492"/>
      <c r="CG99" s="514"/>
      <c r="CH99" s="492"/>
      <c r="CI99" s="514"/>
      <c r="CJ99" s="492"/>
      <c r="CK99" s="586"/>
      <c r="CL99" s="492"/>
      <c r="CM99" s="492"/>
      <c r="CN99" s="514"/>
      <c r="CO99" s="492"/>
      <c r="CP99" s="514"/>
      <c r="CQ99" s="492"/>
      <c r="CR99" s="514"/>
      <c r="CS99" s="492"/>
      <c r="CT99" s="492"/>
      <c r="CU99" s="586"/>
      <c r="CV99" s="431"/>
      <c r="CW99" s="586"/>
      <c r="CX99" s="431"/>
      <c r="CY99" s="586"/>
      <c r="CZ99" s="431"/>
      <c r="DA99" s="431"/>
      <c r="DB99" s="586"/>
      <c r="DC99" s="431"/>
      <c r="DD99" s="586"/>
      <c r="DE99" s="431"/>
      <c r="DF99" s="586"/>
      <c r="DG99" s="431"/>
      <c r="DH99" s="431"/>
      <c r="DI99" s="431"/>
      <c r="DJ99" s="431"/>
      <c r="DK99" s="431"/>
      <c r="DL99" s="431"/>
      <c r="DM99" s="431"/>
      <c r="DN99" s="431"/>
      <c r="DO99" s="431"/>
      <c r="DP99" s="431"/>
      <c r="DQ99" s="431"/>
      <c r="DR99" s="431"/>
      <c r="DS99" s="431"/>
      <c r="DT99" s="431"/>
      <c r="DU99" s="431"/>
      <c r="DV99" s="431"/>
      <c r="DW99" s="431"/>
      <c r="DX99" s="431"/>
      <c r="DY99" s="431"/>
      <c r="DZ99" s="431"/>
      <c r="EA99" s="431"/>
      <c r="EB99" s="431"/>
      <c r="EC99" s="431"/>
      <c r="ED99" s="431"/>
      <c r="EE99" s="431"/>
      <c r="EF99" s="431"/>
      <c r="EG99" s="431"/>
      <c r="EH99" s="431"/>
      <c r="EI99" s="431"/>
      <c r="EJ99" s="431"/>
      <c r="EK99" s="431"/>
      <c r="EL99" s="431"/>
      <c r="EM99" s="431"/>
      <c r="EN99" s="431"/>
      <c r="EO99" s="431"/>
      <c r="EP99" s="431"/>
      <c r="EQ99" s="431"/>
      <c r="ER99" s="431"/>
      <c r="ES99" s="431"/>
      <c r="ET99" s="431"/>
      <c r="EU99" s="431"/>
      <c r="EV99" s="431"/>
      <c r="EW99" s="431"/>
      <c r="EX99" s="431"/>
      <c r="EY99" s="431"/>
      <c r="EZ99" s="431"/>
      <c r="FA99" s="431"/>
      <c r="FB99" s="431"/>
      <c r="FC99" s="431"/>
      <c r="FD99" s="431"/>
      <c r="FE99" s="431"/>
      <c r="FF99" s="431"/>
      <c r="FG99" s="431"/>
      <c r="FH99" s="431"/>
      <c r="FI99" s="431"/>
      <c r="FJ99" s="431"/>
      <c r="FK99" s="431"/>
      <c r="FL99" s="431"/>
      <c r="FM99" s="431"/>
      <c r="FN99" s="431"/>
      <c r="FO99" s="431"/>
      <c r="FP99" s="431"/>
      <c r="FQ99" s="431"/>
      <c r="FR99" s="431"/>
      <c r="FS99" s="587"/>
    </row>
    <row r="100" spans="1:175" s="511" customFormat="1" ht="26.45" customHeight="1">
      <c r="A100" s="510"/>
      <c r="B100" s="734" t="s">
        <v>288</v>
      </c>
      <c r="C100" s="735" t="s">
        <v>487</v>
      </c>
      <c r="D100" s="429">
        <v>29000000</v>
      </c>
      <c r="E100" s="736"/>
      <c r="F100" s="737">
        <v>45960</v>
      </c>
      <c r="G100" s="649"/>
      <c r="H100" s="150"/>
      <c r="I100" s="302"/>
      <c r="J100" s="150"/>
      <c r="K100" s="302"/>
      <c r="L100" s="150"/>
      <c r="M100" s="302"/>
      <c r="N100" s="302"/>
      <c r="O100" s="150"/>
      <c r="P100" s="302"/>
      <c r="Q100" s="150"/>
      <c r="R100" s="302"/>
      <c r="S100" s="150"/>
      <c r="T100" s="302"/>
      <c r="U100" s="738">
        <f t="shared" si="6"/>
        <v>29000000</v>
      </c>
      <c r="V100" s="150"/>
      <c r="W100" s="302"/>
      <c r="X100" s="739">
        <f t="shared" si="3"/>
        <v>29000000</v>
      </c>
      <c r="Y100" s="492"/>
      <c r="Z100" s="514"/>
      <c r="AA100" s="492"/>
      <c r="AB100" s="492"/>
      <c r="AC100" s="514"/>
      <c r="AD100" s="492"/>
      <c r="AE100" s="514"/>
      <c r="AF100" s="492"/>
      <c r="AG100" s="514"/>
      <c r="AH100" s="492"/>
      <c r="AI100" s="492"/>
      <c r="AJ100" s="514"/>
      <c r="AK100" s="492"/>
      <c r="AL100" s="514"/>
      <c r="AM100" s="492"/>
      <c r="AN100" s="514"/>
      <c r="AO100" s="492"/>
      <c r="AP100" s="492"/>
      <c r="AQ100" s="514"/>
      <c r="AR100" s="492"/>
      <c r="AS100" s="514"/>
      <c r="AT100" s="492"/>
      <c r="AU100" s="514"/>
      <c r="AV100" s="492"/>
      <c r="AW100" s="492"/>
      <c r="AX100" s="514"/>
      <c r="AY100" s="492"/>
      <c r="AZ100" s="514"/>
      <c r="BA100" s="492"/>
      <c r="BB100" s="514"/>
      <c r="BC100" s="492"/>
      <c r="BD100" s="492"/>
      <c r="BE100" s="514"/>
      <c r="BF100" s="492"/>
      <c r="BG100" s="514"/>
      <c r="BH100" s="492"/>
      <c r="BI100" s="514"/>
      <c r="BJ100" s="492"/>
      <c r="BK100" s="492"/>
      <c r="BL100" s="514"/>
      <c r="BM100" s="492"/>
      <c r="BN100" s="514"/>
      <c r="BO100" s="492"/>
      <c r="BP100" s="514"/>
      <c r="BQ100" s="492"/>
      <c r="BR100" s="492"/>
      <c r="BS100" s="514"/>
      <c r="BT100" s="492"/>
      <c r="BU100" s="514"/>
      <c r="BV100" s="492"/>
      <c r="BW100" s="514"/>
      <c r="BX100" s="492"/>
      <c r="BY100" s="492"/>
      <c r="BZ100" s="514"/>
      <c r="CA100" s="492"/>
      <c r="CB100" s="514"/>
      <c r="CC100" s="492"/>
      <c r="CD100" s="514"/>
      <c r="CE100" s="492"/>
      <c r="CF100" s="492"/>
      <c r="CG100" s="514"/>
      <c r="CH100" s="492"/>
      <c r="CI100" s="514"/>
      <c r="CJ100" s="492"/>
      <c r="CK100" s="586"/>
      <c r="CL100" s="492"/>
      <c r="CM100" s="492"/>
      <c r="CN100" s="514"/>
      <c r="CO100" s="492"/>
      <c r="CP100" s="514"/>
      <c r="CQ100" s="492"/>
      <c r="CR100" s="514"/>
      <c r="CS100" s="492"/>
      <c r="CT100" s="492"/>
      <c r="CU100" s="586"/>
      <c r="CV100" s="431"/>
      <c r="CW100" s="586"/>
      <c r="CX100" s="431"/>
      <c r="CY100" s="586"/>
      <c r="CZ100" s="431"/>
      <c r="DA100" s="431"/>
      <c r="DB100" s="586"/>
      <c r="DC100" s="431"/>
      <c r="DD100" s="586"/>
      <c r="DE100" s="431"/>
      <c r="DF100" s="586"/>
      <c r="DG100" s="431"/>
      <c r="DH100" s="431"/>
      <c r="DI100" s="431"/>
      <c r="DJ100" s="431"/>
      <c r="DK100" s="431"/>
      <c r="DL100" s="431"/>
      <c r="DM100" s="431"/>
      <c r="DN100" s="431"/>
      <c r="DO100" s="431"/>
      <c r="DP100" s="431"/>
      <c r="DQ100" s="431"/>
      <c r="DR100" s="431"/>
      <c r="DS100" s="431"/>
      <c r="DT100" s="431"/>
      <c r="DU100" s="431"/>
      <c r="DV100" s="431"/>
      <c r="DW100" s="431"/>
      <c r="DX100" s="431"/>
      <c r="DY100" s="431"/>
      <c r="DZ100" s="431"/>
      <c r="EA100" s="431"/>
      <c r="EB100" s="431"/>
      <c r="EC100" s="431"/>
      <c r="ED100" s="431"/>
      <c r="EE100" s="431"/>
      <c r="EF100" s="431"/>
      <c r="EG100" s="431"/>
      <c r="EH100" s="431"/>
      <c r="EI100" s="431"/>
      <c r="EJ100" s="431"/>
      <c r="EK100" s="431"/>
      <c r="EL100" s="431"/>
      <c r="EM100" s="431"/>
      <c r="EN100" s="431"/>
      <c r="EO100" s="431"/>
      <c r="EP100" s="431"/>
      <c r="EQ100" s="431"/>
      <c r="ER100" s="431"/>
      <c r="ES100" s="431"/>
      <c r="ET100" s="431"/>
      <c r="EU100" s="431"/>
      <c r="EV100" s="431"/>
      <c r="EW100" s="431"/>
      <c r="EX100" s="431"/>
      <c r="EY100" s="431"/>
      <c r="EZ100" s="431"/>
      <c r="FA100" s="431"/>
      <c r="FB100" s="431"/>
      <c r="FC100" s="431"/>
      <c r="FD100" s="431"/>
      <c r="FE100" s="431"/>
      <c r="FF100" s="431"/>
      <c r="FG100" s="431"/>
      <c r="FH100" s="431"/>
      <c r="FI100" s="431"/>
      <c r="FJ100" s="431"/>
      <c r="FK100" s="431"/>
      <c r="FL100" s="431"/>
      <c r="FM100" s="431"/>
      <c r="FN100" s="431"/>
      <c r="FO100" s="431"/>
      <c r="FP100" s="431"/>
      <c r="FQ100" s="431"/>
      <c r="FR100" s="431"/>
      <c r="FS100" s="587"/>
    </row>
    <row r="101" spans="1:175" s="511" customFormat="1" ht="26.45" customHeight="1">
      <c r="A101" s="510"/>
      <c r="B101" s="734" t="s">
        <v>288</v>
      </c>
      <c r="C101" s="735" t="s">
        <v>460</v>
      </c>
      <c r="D101" s="429">
        <v>64500000</v>
      </c>
      <c r="E101" s="736"/>
      <c r="F101" s="737">
        <v>45960</v>
      </c>
      <c r="G101" s="649"/>
      <c r="H101" s="150"/>
      <c r="I101" s="302"/>
      <c r="J101" s="150"/>
      <c r="K101" s="302"/>
      <c r="L101" s="150"/>
      <c r="M101" s="302"/>
      <c r="N101" s="302"/>
      <c r="O101" s="150"/>
      <c r="P101" s="302"/>
      <c r="Q101" s="150"/>
      <c r="R101" s="302"/>
      <c r="S101" s="150"/>
      <c r="T101" s="302"/>
      <c r="U101" s="738">
        <f t="shared" si="6"/>
        <v>64500000</v>
      </c>
      <c r="V101" s="150"/>
      <c r="W101" s="302"/>
      <c r="X101" s="739">
        <f t="shared" si="3"/>
        <v>64500000</v>
      </c>
      <c r="Y101" s="492"/>
      <c r="Z101" s="514"/>
      <c r="AA101" s="492"/>
      <c r="AB101" s="492"/>
      <c r="AC101" s="514"/>
      <c r="AD101" s="492"/>
      <c r="AE101" s="514"/>
      <c r="AF101" s="492"/>
      <c r="AG101" s="514"/>
      <c r="AH101" s="492"/>
      <c r="AI101" s="492"/>
      <c r="AJ101" s="514"/>
      <c r="AK101" s="492"/>
      <c r="AL101" s="514"/>
      <c r="AM101" s="492"/>
      <c r="AN101" s="514"/>
      <c r="AO101" s="492"/>
      <c r="AP101" s="492"/>
      <c r="AQ101" s="514"/>
      <c r="AR101" s="492"/>
      <c r="AS101" s="514"/>
      <c r="AT101" s="492"/>
      <c r="AU101" s="514"/>
      <c r="AV101" s="492"/>
      <c r="AW101" s="492"/>
      <c r="AX101" s="514"/>
      <c r="AY101" s="492"/>
      <c r="AZ101" s="514"/>
      <c r="BA101" s="492"/>
      <c r="BB101" s="514"/>
      <c r="BC101" s="492"/>
      <c r="BD101" s="492"/>
      <c r="BE101" s="514"/>
      <c r="BF101" s="492"/>
      <c r="BG101" s="514"/>
      <c r="BH101" s="492"/>
      <c r="BI101" s="514"/>
      <c r="BJ101" s="492"/>
      <c r="BK101" s="492"/>
      <c r="BL101" s="514"/>
      <c r="BM101" s="492"/>
      <c r="BN101" s="514"/>
      <c r="BO101" s="492"/>
      <c r="BP101" s="514"/>
      <c r="BQ101" s="492"/>
      <c r="BR101" s="492"/>
      <c r="BS101" s="514"/>
      <c r="BT101" s="492"/>
      <c r="BU101" s="514"/>
      <c r="BV101" s="492"/>
      <c r="BW101" s="514"/>
      <c r="BX101" s="492"/>
      <c r="BY101" s="492"/>
      <c r="BZ101" s="514"/>
      <c r="CA101" s="492"/>
      <c r="CB101" s="514"/>
      <c r="CC101" s="492"/>
      <c r="CD101" s="514"/>
      <c r="CE101" s="492"/>
      <c r="CF101" s="492"/>
      <c r="CG101" s="514"/>
      <c r="CH101" s="492"/>
      <c r="CI101" s="514"/>
      <c r="CJ101" s="492"/>
      <c r="CK101" s="586"/>
      <c r="CL101" s="492"/>
      <c r="CM101" s="492"/>
      <c r="CN101" s="514"/>
      <c r="CO101" s="492"/>
      <c r="CP101" s="514"/>
      <c r="CQ101" s="492"/>
      <c r="CR101" s="514"/>
      <c r="CS101" s="492"/>
      <c r="CT101" s="492"/>
      <c r="CU101" s="586"/>
      <c r="CV101" s="431"/>
      <c r="CW101" s="586"/>
      <c r="CX101" s="431"/>
      <c r="CY101" s="586"/>
      <c r="CZ101" s="431"/>
      <c r="DA101" s="431"/>
      <c r="DB101" s="586"/>
      <c r="DC101" s="431"/>
      <c r="DD101" s="586"/>
      <c r="DE101" s="431"/>
      <c r="DF101" s="586"/>
      <c r="DG101" s="431"/>
      <c r="DH101" s="431"/>
      <c r="DI101" s="431"/>
      <c r="DJ101" s="431"/>
      <c r="DK101" s="431"/>
      <c r="DL101" s="431"/>
      <c r="DM101" s="431"/>
      <c r="DN101" s="431"/>
      <c r="DO101" s="431"/>
      <c r="DP101" s="431"/>
      <c r="DQ101" s="431"/>
      <c r="DR101" s="431"/>
      <c r="DS101" s="431"/>
      <c r="DT101" s="431"/>
      <c r="DU101" s="431"/>
      <c r="DV101" s="431"/>
      <c r="DW101" s="431"/>
      <c r="DX101" s="431"/>
      <c r="DY101" s="431"/>
      <c r="DZ101" s="431"/>
      <c r="EA101" s="431"/>
      <c r="EB101" s="431"/>
      <c r="EC101" s="431"/>
      <c r="ED101" s="431"/>
      <c r="EE101" s="431"/>
      <c r="EF101" s="431"/>
      <c r="EG101" s="431"/>
      <c r="EH101" s="431"/>
      <c r="EI101" s="431"/>
      <c r="EJ101" s="431"/>
      <c r="EK101" s="431"/>
      <c r="EL101" s="431"/>
      <c r="EM101" s="431"/>
      <c r="EN101" s="431"/>
      <c r="EO101" s="431"/>
      <c r="EP101" s="431"/>
      <c r="EQ101" s="431"/>
      <c r="ER101" s="431"/>
      <c r="ES101" s="431"/>
      <c r="ET101" s="431"/>
      <c r="EU101" s="431"/>
      <c r="EV101" s="431"/>
      <c r="EW101" s="431"/>
      <c r="EX101" s="431"/>
      <c r="EY101" s="431"/>
      <c r="EZ101" s="431"/>
      <c r="FA101" s="431"/>
      <c r="FB101" s="431"/>
      <c r="FC101" s="431"/>
      <c r="FD101" s="431"/>
      <c r="FE101" s="431"/>
      <c r="FF101" s="431"/>
      <c r="FG101" s="431"/>
      <c r="FH101" s="431"/>
      <c r="FI101" s="431"/>
      <c r="FJ101" s="431"/>
      <c r="FK101" s="431"/>
      <c r="FL101" s="431"/>
      <c r="FM101" s="431"/>
      <c r="FN101" s="431"/>
      <c r="FO101" s="431"/>
      <c r="FP101" s="431"/>
      <c r="FQ101" s="431"/>
      <c r="FR101" s="431"/>
      <c r="FS101" s="587"/>
    </row>
    <row r="102" spans="1:175" s="511" customFormat="1" ht="26.45" customHeight="1">
      <c r="A102" s="510"/>
      <c r="B102" s="734" t="s">
        <v>288</v>
      </c>
      <c r="C102" s="735" t="s">
        <v>442</v>
      </c>
      <c r="D102" s="429">
        <v>51050000</v>
      </c>
      <c r="E102" s="736"/>
      <c r="F102" s="737">
        <v>45960</v>
      </c>
      <c r="G102" s="649"/>
      <c r="H102" s="150"/>
      <c r="I102" s="302"/>
      <c r="J102" s="150"/>
      <c r="K102" s="302"/>
      <c r="L102" s="150"/>
      <c r="M102" s="302"/>
      <c r="N102" s="302"/>
      <c r="O102" s="150"/>
      <c r="P102" s="302"/>
      <c r="Q102" s="150"/>
      <c r="R102" s="302"/>
      <c r="S102" s="150"/>
      <c r="T102" s="302"/>
      <c r="U102" s="738">
        <f t="shared" si="6"/>
        <v>51050000</v>
      </c>
      <c r="V102" s="150"/>
      <c r="W102" s="302"/>
      <c r="X102" s="739">
        <f t="shared" si="3"/>
        <v>51050000</v>
      </c>
      <c r="Y102" s="492"/>
      <c r="Z102" s="514"/>
      <c r="AA102" s="492"/>
      <c r="AB102" s="492"/>
      <c r="AC102" s="514"/>
      <c r="AD102" s="492"/>
      <c r="AE102" s="514"/>
      <c r="AF102" s="492"/>
      <c r="AG102" s="514"/>
      <c r="AH102" s="492"/>
      <c r="AI102" s="492"/>
      <c r="AJ102" s="514"/>
      <c r="AK102" s="492"/>
      <c r="AL102" s="514"/>
      <c r="AM102" s="492"/>
      <c r="AN102" s="514"/>
      <c r="AO102" s="492"/>
      <c r="AP102" s="492"/>
      <c r="AQ102" s="514"/>
      <c r="AR102" s="492"/>
      <c r="AS102" s="514"/>
      <c r="AT102" s="492"/>
      <c r="AU102" s="514"/>
      <c r="AV102" s="492"/>
      <c r="AW102" s="492"/>
      <c r="AX102" s="514"/>
      <c r="AY102" s="492"/>
      <c r="AZ102" s="514"/>
      <c r="BA102" s="492"/>
      <c r="BB102" s="514"/>
      <c r="BC102" s="492"/>
      <c r="BD102" s="492"/>
      <c r="BE102" s="514"/>
      <c r="BF102" s="492"/>
      <c r="BG102" s="514"/>
      <c r="BH102" s="492"/>
      <c r="BI102" s="514"/>
      <c r="BJ102" s="492"/>
      <c r="BK102" s="492"/>
      <c r="BL102" s="514"/>
      <c r="BM102" s="492"/>
      <c r="BN102" s="514"/>
      <c r="BO102" s="492"/>
      <c r="BP102" s="514"/>
      <c r="BQ102" s="492"/>
      <c r="BR102" s="492"/>
      <c r="BS102" s="514"/>
      <c r="BT102" s="492"/>
      <c r="BU102" s="514"/>
      <c r="BV102" s="492"/>
      <c r="BW102" s="514"/>
      <c r="BX102" s="492"/>
      <c r="BY102" s="492"/>
      <c r="BZ102" s="514"/>
      <c r="CA102" s="492"/>
      <c r="CB102" s="514"/>
      <c r="CC102" s="492"/>
      <c r="CD102" s="514"/>
      <c r="CE102" s="492"/>
      <c r="CF102" s="492"/>
      <c r="CG102" s="514"/>
      <c r="CH102" s="492"/>
      <c r="CI102" s="514"/>
      <c r="CJ102" s="492"/>
      <c r="CK102" s="586"/>
      <c r="CL102" s="492"/>
      <c r="CM102" s="492"/>
      <c r="CN102" s="514"/>
      <c r="CO102" s="492"/>
      <c r="CP102" s="514"/>
      <c r="CQ102" s="492"/>
      <c r="CR102" s="514"/>
      <c r="CS102" s="492"/>
      <c r="CT102" s="492"/>
      <c r="CU102" s="586"/>
      <c r="CV102" s="431"/>
      <c r="CW102" s="586"/>
      <c r="CX102" s="431"/>
      <c r="CY102" s="586"/>
      <c r="CZ102" s="431"/>
      <c r="DA102" s="431"/>
      <c r="DB102" s="586"/>
      <c r="DC102" s="431"/>
      <c r="DD102" s="586"/>
      <c r="DE102" s="431"/>
      <c r="DF102" s="586"/>
      <c r="DG102" s="431"/>
      <c r="DH102" s="431"/>
      <c r="DI102" s="431"/>
      <c r="DJ102" s="431"/>
      <c r="DK102" s="431"/>
      <c r="DL102" s="431"/>
      <c r="DM102" s="431"/>
      <c r="DN102" s="431"/>
      <c r="DO102" s="431"/>
      <c r="DP102" s="431"/>
      <c r="DQ102" s="431"/>
      <c r="DR102" s="431"/>
      <c r="DS102" s="431"/>
      <c r="DT102" s="431"/>
      <c r="DU102" s="431"/>
      <c r="DV102" s="431"/>
      <c r="DW102" s="431"/>
      <c r="DX102" s="431"/>
      <c r="DY102" s="431"/>
      <c r="DZ102" s="431"/>
      <c r="EA102" s="431"/>
      <c r="EB102" s="431"/>
      <c r="EC102" s="431"/>
      <c r="ED102" s="431"/>
      <c r="EE102" s="431"/>
      <c r="EF102" s="431"/>
      <c r="EG102" s="431"/>
      <c r="EH102" s="431"/>
      <c r="EI102" s="431"/>
      <c r="EJ102" s="431"/>
      <c r="EK102" s="431"/>
      <c r="EL102" s="431"/>
      <c r="EM102" s="431"/>
      <c r="EN102" s="431"/>
      <c r="EO102" s="431"/>
      <c r="EP102" s="431"/>
      <c r="EQ102" s="431"/>
      <c r="ER102" s="431"/>
      <c r="ES102" s="431"/>
      <c r="ET102" s="431"/>
      <c r="EU102" s="431"/>
      <c r="EV102" s="431"/>
      <c r="EW102" s="431"/>
      <c r="EX102" s="431"/>
      <c r="EY102" s="431"/>
      <c r="EZ102" s="431"/>
      <c r="FA102" s="431"/>
      <c r="FB102" s="431"/>
      <c r="FC102" s="431"/>
      <c r="FD102" s="431"/>
      <c r="FE102" s="431"/>
      <c r="FF102" s="431"/>
      <c r="FG102" s="431"/>
      <c r="FH102" s="431"/>
      <c r="FI102" s="431"/>
      <c r="FJ102" s="431"/>
      <c r="FK102" s="431"/>
      <c r="FL102" s="431"/>
      <c r="FM102" s="431"/>
      <c r="FN102" s="431"/>
      <c r="FO102" s="431"/>
      <c r="FP102" s="431"/>
      <c r="FQ102" s="431"/>
      <c r="FR102" s="431"/>
      <c r="FS102" s="587"/>
    </row>
    <row r="103" spans="1:175" s="747" customFormat="1" ht="26.45" customHeight="1">
      <c r="A103" s="740"/>
      <c r="B103" s="740"/>
      <c r="C103" s="741" t="s">
        <v>28</v>
      </c>
      <c r="D103" s="742">
        <f>SUM(D10:D102)</f>
        <v>1763734063</v>
      </c>
      <c r="E103" s="742"/>
      <c r="F103" s="743"/>
      <c r="G103" s="740"/>
      <c r="H103" s="744">
        <f t="shared" ref="H103:X103" si="7">SUM(H10:H102)</f>
        <v>0</v>
      </c>
      <c r="I103" s="744">
        <f t="shared" si="7"/>
        <v>0</v>
      </c>
      <c r="J103" s="744">
        <f t="shared" si="7"/>
        <v>0</v>
      </c>
      <c r="K103" s="744">
        <f t="shared" si="7"/>
        <v>18650000</v>
      </c>
      <c r="L103" s="744">
        <f t="shared" si="7"/>
        <v>1014560576</v>
      </c>
      <c r="M103" s="744">
        <f t="shared" si="7"/>
        <v>0</v>
      </c>
      <c r="N103" s="744">
        <f t="shared" si="7"/>
        <v>203483000</v>
      </c>
      <c r="O103" s="744">
        <f t="shared" si="7"/>
        <v>0</v>
      </c>
      <c r="P103" s="744">
        <f t="shared" si="7"/>
        <v>0</v>
      </c>
      <c r="Q103" s="744">
        <f t="shared" si="7"/>
        <v>0</v>
      </c>
      <c r="R103" s="744">
        <f t="shared" si="7"/>
        <v>0</v>
      </c>
      <c r="S103" s="744">
        <f t="shared" si="7"/>
        <v>269337350</v>
      </c>
      <c r="T103" s="744">
        <f t="shared" si="7"/>
        <v>0</v>
      </c>
      <c r="U103" s="744">
        <f t="shared" si="7"/>
        <v>257703137</v>
      </c>
      <c r="V103" s="744">
        <f t="shared" si="7"/>
        <v>0</v>
      </c>
      <c r="W103" s="744">
        <f t="shared" si="7"/>
        <v>0</v>
      </c>
      <c r="X103" s="745">
        <f t="shared" si="7"/>
        <v>1763734063</v>
      </c>
      <c r="Y103" s="746"/>
      <c r="Z103" s="746"/>
      <c r="AA103" s="746"/>
      <c r="AB103" s="746"/>
      <c r="AC103" s="746"/>
      <c r="AD103" s="746"/>
      <c r="AE103" s="746"/>
      <c r="AF103" s="746"/>
      <c r="AG103" s="746"/>
      <c r="AH103" s="746"/>
      <c r="AI103" s="746"/>
      <c r="AJ103" s="746"/>
      <c r="AK103" s="746"/>
      <c r="AL103" s="746"/>
      <c r="AM103" s="746"/>
      <c r="AN103" s="746"/>
      <c r="AO103" s="746"/>
      <c r="AP103" s="746"/>
      <c r="AQ103" s="746"/>
      <c r="AR103" s="746"/>
      <c r="AS103" s="746"/>
      <c r="AT103" s="746"/>
      <c r="AU103" s="746"/>
      <c r="AV103" s="746"/>
      <c r="AW103" s="746"/>
      <c r="AX103" s="746"/>
      <c r="AY103" s="746"/>
      <c r="AZ103" s="746"/>
      <c r="BA103" s="746"/>
      <c r="BB103" s="746"/>
      <c r="BC103" s="746"/>
      <c r="BD103" s="746"/>
      <c r="BE103" s="746"/>
      <c r="BF103" s="746"/>
      <c r="BG103" s="746"/>
      <c r="BH103" s="746"/>
      <c r="BI103" s="746"/>
      <c r="BJ103" s="746"/>
      <c r="BK103" s="746"/>
      <c r="BL103" s="746"/>
      <c r="BM103" s="746"/>
      <c r="BN103" s="746"/>
      <c r="BO103" s="746"/>
      <c r="BP103" s="746"/>
      <c r="BQ103" s="746"/>
      <c r="BR103" s="746"/>
      <c r="BS103" s="746"/>
      <c r="BT103" s="746"/>
      <c r="BU103" s="746"/>
      <c r="BV103" s="746"/>
      <c r="BW103" s="746"/>
      <c r="BX103" s="746"/>
      <c r="BY103" s="746"/>
      <c r="BZ103" s="746"/>
      <c r="CA103" s="746"/>
      <c r="CB103" s="746"/>
      <c r="CC103" s="746"/>
      <c r="CD103" s="746"/>
      <c r="CE103" s="746"/>
      <c r="CF103" s="746"/>
      <c r="CG103" s="746"/>
      <c r="CH103" s="746"/>
      <c r="CI103" s="746"/>
      <c r="CJ103" s="746"/>
      <c r="CK103" s="746"/>
      <c r="CL103" s="746"/>
      <c r="CM103" s="746"/>
      <c r="CN103" s="746"/>
      <c r="CO103" s="746"/>
      <c r="CQ103" s="746"/>
      <c r="CR103" s="746"/>
      <c r="CS103" s="746"/>
      <c r="CT103" s="746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1245-491C-4F8E-AC04-E20FD7564819}">
  <sheetPr codeName="Sheet11">
    <tabColor theme="0"/>
  </sheetPr>
  <dimension ref="A1:T14"/>
  <sheetViews>
    <sheetView workbookViewId="0">
      <pane xSplit="3" topLeftCell="D1" activePane="topRight" state="frozen"/>
      <selection pane="topRight" activeCell="C17" sqref="C17"/>
    </sheetView>
  </sheetViews>
  <sheetFormatPr defaultColWidth="8" defaultRowHeight="11.25"/>
  <cols>
    <col min="1" max="1" width="16.85546875" style="10" customWidth="1"/>
    <col min="2" max="2" width="10.5703125" style="40" customWidth="1"/>
    <col min="3" max="3" width="18.5703125" style="15" customWidth="1"/>
    <col min="4" max="19" width="13.7109375" style="15" customWidth="1"/>
    <col min="20" max="16384" width="8" style="15"/>
  </cols>
  <sheetData>
    <row r="1" spans="1:20" ht="10.15" customHeight="1">
      <c r="B1" s="11" t="s">
        <v>106</v>
      </c>
      <c r="C1" s="12" t="s">
        <v>166</v>
      </c>
      <c r="D1" s="13"/>
      <c r="E1" s="150"/>
      <c r="F1" s="14" t="s">
        <v>108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0" ht="12" customHeight="1">
      <c r="B2" s="11" t="s">
        <v>109</v>
      </c>
      <c r="C2" s="18" t="s">
        <v>488</v>
      </c>
      <c r="D2" s="13"/>
      <c r="E2" s="151"/>
      <c r="F2" s="14" t="s">
        <v>110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0" ht="10.15" customHeight="1">
      <c r="B3" s="11" t="s">
        <v>111</v>
      </c>
      <c r="C3" s="18"/>
      <c r="D3" s="13"/>
      <c r="E3" s="152"/>
      <c r="F3" s="14" t="s">
        <v>112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20">
      <c r="B4" s="11" t="s">
        <v>113</v>
      </c>
      <c r="C4" s="175">
        <f>'OUT - TEP - Cost Of Revenue'!E4</f>
        <v>0</v>
      </c>
      <c r="E4" s="20" t="s">
        <v>114</v>
      </c>
      <c r="F4" s="20" t="s">
        <v>114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20" ht="12.75">
      <c r="A5" s="15"/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"/>
    </row>
    <row r="6" spans="1:20" ht="12.75">
      <c r="A6" s="349" t="s">
        <v>116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595" t="s">
        <v>28</v>
      </c>
    </row>
    <row r="7" spans="1:20" ht="15" customHeight="1">
      <c r="A7" s="593"/>
      <c r="B7" s="593"/>
      <c r="C7" s="118"/>
      <c r="D7" s="513"/>
      <c r="E7" s="513"/>
      <c r="F7" s="513"/>
      <c r="G7" s="513"/>
      <c r="H7" s="513"/>
      <c r="I7" s="513"/>
      <c r="J7" s="513"/>
      <c r="K7" s="513"/>
      <c r="L7" s="513"/>
      <c r="M7" s="513"/>
      <c r="N7" s="513"/>
      <c r="O7" s="513"/>
      <c r="P7" s="513"/>
      <c r="Q7" s="513"/>
      <c r="R7" s="513"/>
      <c r="S7" s="589"/>
      <c r="T7" s="597">
        <f>SUM(D7:S7)</f>
        <v>0</v>
      </c>
    </row>
    <row r="8" spans="1:20" ht="15">
      <c r="A8" s="458"/>
      <c r="B8" s="429"/>
      <c r="C8" s="457"/>
      <c r="D8" s="87"/>
      <c r="E8" s="87"/>
      <c r="F8" s="87"/>
      <c r="G8" s="87"/>
      <c r="H8" s="87"/>
      <c r="I8" s="87"/>
      <c r="J8" s="36"/>
      <c r="K8" s="272"/>
      <c r="L8" s="272"/>
      <c r="M8" s="272"/>
      <c r="N8" s="273"/>
      <c r="O8" s="273"/>
      <c r="P8" s="273"/>
      <c r="Q8" s="273"/>
      <c r="R8" s="273"/>
      <c r="S8" s="594"/>
      <c r="T8" s="597">
        <f>SUM(D8:S8)</f>
        <v>0</v>
      </c>
    </row>
    <row r="9" spans="1:20" ht="15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594"/>
      <c r="T9" s="597">
        <f>SUM(D9:S9)</f>
        <v>0</v>
      </c>
    </row>
    <row r="10" spans="1:20" ht="15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594"/>
      <c r="T10" s="597">
        <f>SUM(D10:S10)</f>
        <v>0</v>
      </c>
    </row>
    <row r="11" spans="1:20" ht="15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594"/>
      <c r="T11" s="597">
        <f>SUM(D11:S11)</f>
        <v>0</v>
      </c>
    </row>
    <row r="12" spans="1:20">
      <c r="A12" s="86"/>
      <c r="B12" s="369" t="s">
        <v>28</v>
      </c>
      <c r="C12" s="88"/>
      <c r="D12" s="120">
        <f t="shared" ref="D12:T12" si="0">SUM(D7:D11)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596">
        <f t="shared" si="0"/>
        <v>0</v>
      </c>
    </row>
    <row r="13" spans="1:20">
      <c r="B13" s="109"/>
      <c r="C13" s="110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</row>
    <row r="14" spans="1:20">
      <c r="B14" s="21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</sheetData>
  <dataValidations count="1">
    <dataValidation type="list" allowBlank="1" showInputMessage="1" showErrorMessage="1" sqref="A11 B8:B9" xr:uid="{96A25FF1-DCBF-4F33-9D68-66C43E7CCEA3}">
      <formula1>#REF!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63D3-9698-4EBE-9B16-9DE7F6485594}">
  <sheetPr codeName="Sheet10"/>
  <dimension ref="A1:T15"/>
  <sheetViews>
    <sheetView zoomScale="70" zoomScaleNormal="70" workbookViewId="0">
      <pane xSplit="2" ySplit="8" topLeftCell="F9" activePane="bottomRight" state="frozen"/>
      <selection pane="topRight" activeCell="D1" sqref="D1"/>
      <selection pane="bottomLeft" activeCell="A9" sqref="A9"/>
      <selection pane="bottomRight" activeCell="T12" sqref="T12"/>
    </sheetView>
  </sheetViews>
  <sheetFormatPr defaultColWidth="8" defaultRowHeight="18.600000000000001" customHeight="1"/>
  <cols>
    <col min="1" max="1" width="8" style="10" customWidth="1"/>
    <col min="2" max="2" width="13" style="40" customWidth="1"/>
    <col min="3" max="3" width="27.5703125" style="15" customWidth="1"/>
    <col min="4" max="19" width="13.7109375" style="15" customWidth="1"/>
    <col min="20" max="20" width="12.85546875" style="15" customWidth="1"/>
    <col min="21" max="16384" width="8" style="15"/>
  </cols>
  <sheetData>
    <row r="1" spans="1:20" ht="18.600000000000001" customHeight="1">
      <c r="B1" s="11" t="s">
        <v>106</v>
      </c>
      <c r="C1" s="12" t="s">
        <v>166</v>
      </c>
      <c r="E1" s="150"/>
      <c r="F1" s="14" t="s">
        <v>108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0" ht="18.600000000000001" customHeight="1">
      <c r="B2" s="11" t="s">
        <v>109</v>
      </c>
      <c r="C2" s="18" t="s">
        <v>489</v>
      </c>
      <c r="E2" s="151"/>
      <c r="F2" s="14" t="s">
        <v>110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0" ht="18.600000000000001" customHeight="1">
      <c r="B3" s="11" t="s">
        <v>111</v>
      </c>
      <c r="C3" s="18"/>
      <c r="E3" s="152"/>
      <c r="F3" s="14" t="s">
        <v>112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20" ht="18.600000000000001" customHeight="1">
      <c r="B4" s="11" t="s">
        <v>113</v>
      </c>
      <c r="C4" s="175">
        <f>'IN-CFC-Penerimaan PengemPinj'!C4</f>
        <v>45947</v>
      </c>
      <c r="D4" s="20" t="s">
        <v>114</v>
      </c>
      <c r="E4" s="20" t="s">
        <v>114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20" ht="18.600000000000001" customHeight="1">
      <c r="A5" s="15"/>
      <c r="B5" s="113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</row>
    <row r="6" spans="1:20" ht="18.600000000000001" customHeight="1">
      <c r="A6" s="349" t="s">
        <v>116</v>
      </c>
      <c r="B6" s="368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349" t="s">
        <v>28</v>
      </c>
    </row>
    <row r="7" spans="1:20" ht="18.600000000000001" customHeight="1">
      <c r="A7" s="593"/>
      <c r="B7" s="593"/>
      <c r="C7" s="118"/>
      <c r="D7" s="513"/>
      <c r="E7" s="513"/>
      <c r="F7" s="513"/>
      <c r="G7" s="513"/>
      <c r="H7" s="513"/>
      <c r="I7" s="513"/>
      <c r="J7" s="513"/>
      <c r="K7" s="513"/>
      <c r="L7" s="513"/>
      <c r="M7" s="513"/>
      <c r="N7" s="513"/>
      <c r="O7" s="513"/>
      <c r="P7" s="513"/>
      <c r="Q7" s="513"/>
      <c r="R7" s="513"/>
      <c r="S7" s="513"/>
      <c r="T7" s="573">
        <f>SUM(D7:S7)</f>
        <v>0</v>
      </c>
    </row>
    <row r="8" spans="1:20" ht="18.600000000000001" customHeight="1">
      <c r="A8" s="458"/>
      <c r="B8" s="429"/>
      <c r="C8" s="457"/>
      <c r="D8" s="87"/>
      <c r="E8" s="87"/>
      <c r="F8" s="87"/>
      <c r="G8" s="87"/>
      <c r="H8" s="87"/>
      <c r="I8" s="87"/>
      <c r="J8" s="87"/>
      <c r="K8" s="273"/>
      <c r="L8" s="273"/>
      <c r="M8" s="273"/>
      <c r="N8" s="273"/>
      <c r="O8" s="273"/>
      <c r="P8" s="273"/>
      <c r="Q8" s="273"/>
      <c r="R8" s="273"/>
      <c r="S8" s="273"/>
      <c r="T8" s="573">
        <f>SUM(D8:S8)</f>
        <v>0</v>
      </c>
    </row>
    <row r="9" spans="1:20" s="39" customFormat="1" ht="18.600000000000001" customHeight="1">
      <c r="A9" s="458"/>
      <c r="B9" s="429"/>
      <c r="C9" s="457"/>
      <c r="D9" s="87"/>
      <c r="E9" s="87"/>
      <c r="F9" s="87"/>
      <c r="G9" s="87"/>
      <c r="H9" s="87"/>
      <c r="I9" s="87"/>
      <c r="J9" s="36"/>
      <c r="K9" s="272"/>
      <c r="L9" s="272"/>
      <c r="M9" s="272"/>
      <c r="N9" s="273"/>
      <c r="O9" s="273"/>
      <c r="P9" s="273"/>
      <c r="Q9" s="273"/>
      <c r="R9" s="273"/>
      <c r="S9" s="273"/>
      <c r="T9" s="573">
        <f>SUM(D9:S9)</f>
        <v>0</v>
      </c>
    </row>
    <row r="10" spans="1:20" s="39" customFormat="1" ht="18.600000000000001" customHeight="1">
      <c r="A10" s="458"/>
      <c r="B10" s="429"/>
      <c r="C10" s="457"/>
      <c r="D10" s="87"/>
      <c r="E10" s="87"/>
      <c r="F10" s="87"/>
      <c r="G10" s="87"/>
      <c r="H10" s="87"/>
      <c r="I10" s="87"/>
      <c r="J10" s="36"/>
      <c r="K10" s="272"/>
      <c r="L10" s="272"/>
      <c r="M10" s="272"/>
      <c r="N10" s="273"/>
      <c r="O10" s="273"/>
      <c r="P10" s="273"/>
      <c r="Q10" s="273"/>
      <c r="R10" s="273"/>
      <c r="S10" s="273"/>
      <c r="T10" s="573">
        <f>SUM(D10:S10)</f>
        <v>0</v>
      </c>
    </row>
    <row r="11" spans="1:20" s="39" customFormat="1" ht="18.600000000000001" customHeight="1">
      <c r="A11" s="91"/>
      <c r="B11" s="344"/>
      <c r="C11" s="239"/>
      <c r="D11" s="87"/>
      <c r="E11" s="87"/>
      <c r="F11" s="87"/>
      <c r="G11" s="87"/>
      <c r="H11" s="87"/>
      <c r="I11" s="87"/>
      <c r="J11" s="36"/>
      <c r="K11" s="272"/>
      <c r="L11" s="272"/>
      <c r="M11" s="272"/>
      <c r="N11" s="273"/>
      <c r="O11" s="273"/>
      <c r="P11" s="273"/>
      <c r="Q11" s="273"/>
      <c r="R11" s="273"/>
      <c r="S11" s="273"/>
      <c r="T11" s="573">
        <f>SUM(D11:S11)</f>
        <v>0</v>
      </c>
    </row>
    <row r="12" spans="1:20" s="39" customFormat="1" ht="18.600000000000001" customHeight="1">
      <c r="A12" s="86"/>
      <c r="B12" s="369" t="s">
        <v>28</v>
      </c>
      <c r="C12" s="88"/>
      <c r="D12" s="120">
        <f t="shared" ref="D12:T12" si="0">SUM(D7:D11)</f>
        <v>0</v>
      </c>
      <c r="E12" s="120">
        <f t="shared" si="0"/>
        <v>0</v>
      </c>
      <c r="F12" s="120">
        <f t="shared" si="0"/>
        <v>0</v>
      </c>
      <c r="G12" s="120">
        <f t="shared" si="0"/>
        <v>0</v>
      </c>
      <c r="H12" s="120">
        <f t="shared" si="0"/>
        <v>0</v>
      </c>
      <c r="I12" s="120">
        <f t="shared" si="0"/>
        <v>0</v>
      </c>
      <c r="J12" s="120">
        <f t="shared" si="0"/>
        <v>0</v>
      </c>
      <c r="K12" s="120">
        <f t="shared" si="0"/>
        <v>0</v>
      </c>
      <c r="L12" s="120">
        <f t="shared" si="0"/>
        <v>0</v>
      </c>
      <c r="M12" s="120">
        <f t="shared" si="0"/>
        <v>0</v>
      </c>
      <c r="N12" s="120">
        <f t="shared" si="0"/>
        <v>0</v>
      </c>
      <c r="O12" s="120">
        <f t="shared" si="0"/>
        <v>0</v>
      </c>
      <c r="P12" s="120">
        <f t="shared" si="0"/>
        <v>0</v>
      </c>
      <c r="Q12" s="120">
        <f t="shared" si="0"/>
        <v>0</v>
      </c>
      <c r="R12" s="120">
        <f t="shared" si="0"/>
        <v>0</v>
      </c>
      <c r="S12" s="120">
        <f t="shared" si="0"/>
        <v>0</v>
      </c>
      <c r="T12" s="347">
        <f t="shared" si="0"/>
        <v>0</v>
      </c>
    </row>
    <row r="13" spans="1:20" ht="18.600000000000001" customHeight="1">
      <c r="B13" s="2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20" ht="18.600000000000001" customHeight="1">
      <c r="B14" s="2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20" ht="18.600000000000001" customHeight="1">
      <c r="B15" s="2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724CA9-885F-445F-92DE-81EA9B5EEB08}">
          <x14:formula1>
            <xm:f>'OUT - HR - Pemberian Pinjaman'!#REF!</xm:f>
          </x14:formula1>
          <xm:sqref>A11 B8:B9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019F-55EF-48C2-B7C6-B2DB9720019C}">
  <sheetPr>
    <tabColor theme="0"/>
  </sheetPr>
  <dimension ref="A1:T14"/>
  <sheetViews>
    <sheetView workbookViewId="0">
      <pane xSplit="2" ySplit="6" topLeftCell="C7" activePane="bottomRight" state="frozen"/>
      <selection pane="topRight" activeCell="C1" sqref="C1"/>
      <selection pane="bottomLeft" activeCell="A42" sqref="A42"/>
      <selection pane="bottomRight" activeCell="FN30" sqref="FN30"/>
    </sheetView>
  </sheetViews>
  <sheetFormatPr defaultColWidth="8" defaultRowHeight="11.25"/>
  <cols>
    <col min="1" max="1" width="15.7109375" style="116" customWidth="1"/>
    <col min="2" max="2" width="29.42578125" style="40" customWidth="1"/>
    <col min="3" max="3" width="22.85546875" style="15" customWidth="1"/>
    <col min="4" max="20" width="13.7109375" style="15" customWidth="1"/>
    <col min="21" max="16384" width="8" style="15"/>
  </cols>
  <sheetData>
    <row r="1" spans="1:20" ht="10.15" customHeight="1">
      <c r="B1" s="11" t="s">
        <v>106</v>
      </c>
      <c r="C1" s="12" t="s">
        <v>166</v>
      </c>
      <c r="D1" s="150"/>
      <c r="E1" s="14" t="s">
        <v>108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0.15" customHeight="1">
      <c r="B2" s="11" t="s">
        <v>109</v>
      </c>
      <c r="C2" s="18" t="s">
        <v>490</v>
      </c>
      <c r="D2" s="151"/>
      <c r="E2" s="14" t="s">
        <v>110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10.15" customHeight="1">
      <c r="B3" s="11" t="s">
        <v>111</v>
      </c>
      <c r="C3" s="18"/>
      <c r="D3" s="152"/>
      <c r="E3" s="14" t="s">
        <v>112</v>
      </c>
    </row>
    <row r="4" spans="1:20">
      <c r="B4" s="11" t="s">
        <v>113</v>
      </c>
      <c r="C4" s="175">
        <f>'IN-Pengem Pinj Pokok'!C4</f>
        <v>45947</v>
      </c>
      <c r="E4" s="20" t="s">
        <v>114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87" customFormat="1" ht="18.75">
      <c r="A5" s="186"/>
      <c r="D5" s="496" t="s">
        <v>8</v>
      </c>
      <c r="E5" s="350" t="s">
        <v>9</v>
      </c>
      <c r="F5" s="350" t="s">
        <v>10</v>
      </c>
      <c r="G5" s="295" t="s">
        <v>11</v>
      </c>
      <c r="H5" s="353" t="s">
        <v>12</v>
      </c>
      <c r="I5" s="295" t="s">
        <v>13</v>
      </c>
      <c r="J5" s="353" t="s">
        <v>14</v>
      </c>
      <c r="K5" s="496" t="s">
        <v>8</v>
      </c>
      <c r="L5" s="350" t="s">
        <v>9</v>
      </c>
      <c r="M5" s="350" t="s">
        <v>10</v>
      </c>
      <c r="N5" s="295" t="s">
        <v>11</v>
      </c>
      <c r="O5" s="353" t="s">
        <v>12</v>
      </c>
      <c r="P5" s="295" t="s">
        <v>13</v>
      </c>
      <c r="Q5" s="353" t="s">
        <v>14</v>
      </c>
      <c r="R5" s="496" t="s">
        <v>8</v>
      </c>
      <c r="S5" s="350" t="s">
        <v>9</v>
      </c>
      <c r="T5" s="15"/>
    </row>
    <row r="6" spans="1:20" ht="12.75">
      <c r="A6" s="360" t="s">
        <v>116</v>
      </c>
      <c r="B6" s="360" t="s">
        <v>117</v>
      </c>
      <c r="C6" s="4" t="s">
        <v>118</v>
      </c>
      <c r="D6" s="302">
        <v>45947</v>
      </c>
      <c r="E6" s="302">
        <v>45948</v>
      </c>
      <c r="F6" s="302">
        <v>45949</v>
      </c>
      <c r="G6" s="302">
        <v>45950</v>
      </c>
      <c r="H6" s="302">
        <v>45951</v>
      </c>
      <c r="I6" s="302">
        <v>45952</v>
      </c>
      <c r="J6" s="302">
        <v>45953</v>
      </c>
      <c r="K6" s="302">
        <v>45954</v>
      </c>
      <c r="L6" s="302">
        <v>45955</v>
      </c>
      <c r="M6" s="302">
        <v>45956</v>
      </c>
      <c r="N6" s="302">
        <v>45957</v>
      </c>
      <c r="O6" s="302">
        <v>45958</v>
      </c>
      <c r="P6" s="302">
        <v>45959</v>
      </c>
      <c r="Q6" s="302">
        <v>45960</v>
      </c>
      <c r="R6" s="302">
        <v>45961</v>
      </c>
      <c r="S6" s="302">
        <v>45962</v>
      </c>
      <c r="T6" s="349" t="s">
        <v>28</v>
      </c>
    </row>
    <row r="7" spans="1:20" ht="18.75" customHeight="1">
      <c r="A7" s="181"/>
      <c r="B7" s="179"/>
      <c r="C7" s="178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>
        <f>SUM(D7:S7)</f>
        <v>0</v>
      </c>
    </row>
    <row r="8" spans="1:20" ht="14.25" customHeight="1">
      <c r="A8" s="180"/>
      <c r="B8" s="170"/>
      <c r="C8" s="178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>
        <f>SUM(D8:S8)</f>
        <v>0</v>
      </c>
    </row>
    <row r="9" spans="1:20">
      <c r="A9" s="182"/>
      <c r="B9" s="162"/>
      <c r="C9" s="2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>
        <f>SUM(D9:S9)</f>
        <v>0</v>
      </c>
    </row>
    <row r="10" spans="1:20">
      <c r="A10" s="182"/>
      <c r="B10" s="162"/>
      <c r="C10" s="2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>
        <f>SUM(D10:S10)</f>
        <v>0</v>
      </c>
    </row>
    <row r="11" spans="1:20">
      <c r="A11" s="182"/>
      <c r="B11" s="162"/>
      <c r="C11" s="2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>
        <f>SUM(D11:S11)</f>
        <v>0</v>
      </c>
    </row>
    <row r="12" spans="1:20">
      <c r="A12" s="183"/>
      <c r="B12" s="168" t="s">
        <v>491</v>
      </c>
      <c r="C12" s="29"/>
      <c r="D12" s="30">
        <f t="shared" ref="D12:T12" si="0">SUM(D7:D11)</f>
        <v>0</v>
      </c>
      <c r="E12" s="30">
        <f t="shared" si="0"/>
        <v>0</v>
      </c>
      <c r="F12" s="30">
        <f t="shared" si="0"/>
        <v>0</v>
      </c>
      <c r="G12" s="30">
        <f t="shared" si="0"/>
        <v>0</v>
      </c>
      <c r="H12" s="30">
        <f t="shared" si="0"/>
        <v>0</v>
      </c>
      <c r="I12" s="30">
        <f t="shared" si="0"/>
        <v>0</v>
      </c>
      <c r="J12" s="30">
        <f t="shared" si="0"/>
        <v>0</v>
      </c>
      <c r="K12" s="30">
        <f t="shared" si="0"/>
        <v>0</v>
      </c>
      <c r="L12" s="30">
        <f t="shared" si="0"/>
        <v>0</v>
      </c>
      <c r="M12" s="30">
        <f t="shared" si="0"/>
        <v>0</v>
      </c>
      <c r="N12" s="30">
        <f t="shared" si="0"/>
        <v>0</v>
      </c>
      <c r="O12" s="30">
        <f t="shared" si="0"/>
        <v>0</v>
      </c>
      <c r="P12" s="30">
        <f t="shared" si="0"/>
        <v>0</v>
      </c>
      <c r="Q12" s="30">
        <f t="shared" si="0"/>
        <v>0</v>
      </c>
      <c r="R12" s="30">
        <f t="shared" si="0"/>
        <v>0</v>
      </c>
      <c r="S12" s="30">
        <f t="shared" si="0"/>
        <v>0</v>
      </c>
      <c r="T12" s="30">
        <f t="shared" si="0"/>
        <v>0</v>
      </c>
    </row>
    <row r="13" spans="1:20">
      <c r="A13" s="184"/>
      <c r="B13" s="109"/>
      <c r="C13" s="110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</row>
    <row r="14" spans="1:20">
      <c r="B14" s="21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77D7-2644-4896-B769-36671C62A81D}">
  <sheetPr>
    <tabColor theme="0"/>
  </sheetPr>
  <dimension ref="A1:FP104"/>
  <sheetViews>
    <sheetView topLeftCell="A4" zoomScaleNormal="100" workbookViewId="0">
      <pane xSplit="2" ySplit="8" topLeftCell="FK75" activePane="bottomRight" state="frozen"/>
      <selection pane="topRight" activeCell="D4" sqref="D4"/>
      <selection pane="bottomLeft" activeCell="A42" sqref="A42"/>
      <selection pane="bottomRight" activeCell="FK75" sqref="FK75"/>
    </sheetView>
  </sheetViews>
  <sheetFormatPr defaultColWidth="8" defaultRowHeight="11.25"/>
  <cols>
    <col min="1" max="1" width="27.42578125" style="116" customWidth="1"/>
    <col min="2" max="2" width="12.140625" style="115" customWidth="1"/>
    <col min="3" max="3" width="18" style="40" customWidth="1"/>
    <col min="4" max="4" width="12.42578125" style="15" customWidth="1"/>
    <col min="5" max="6" width="13.7109375" style="15" customWidth="1"/>
    <col min="7" max="7" width="15.28515625" style="15" customWidth="1"/>
    <col min="8" max="92" width="13.7109375" style="15" customWidth="1"/>
    <col min="93" max="93" width="17.85546875" style="15" customWidth="1"/>
    <col min="94" max="98" width="13.7109375" style="15" customWidth="1"/>
    <col min="99" max="99" width="13.7109375" style="19" customWidth="1"/>
    <col min="100" max="100" width="8" style="15"/>
    <col min="101" max="101" width="12" style="15" bestFit="1" customWidth="1"/>
    <col min="102" max="102" width="8" style="15"/>
    <col min="103" max="103" width="8.140625" style="15" bestFit="1" customWidth="1"/>
    <col min="104" max="107" width="8" style="15"/>
    <col min="108" max="108" width="9.140625" style="15" bestFit="1" customWidth="1"/>
    <col min="109" max="111" width="8" style="15"/>
    <col min="112" max="112" width="9.140625" style="15" bestFit="1" customWidth="1"/>
    <col min="113" max="113" width="8" style="15"/>
    <col min="114" max="114" width="9.140625" style="15" bestFit="1" customWidth="1"/>
    <col min="115" max="118" width="8" style="15"/>
    <col min="119" max="119" width="8.140625" style="15" bestFit="1" customWidth="1"/>
    <col min="120" max="120" width="8" style="15"/>
    <col min="121" max="121" width="8.140625" style="15" bestFit="1" customWidth="1"/>
    <col min="122" max="134" width="8" style="15"/>
    <col min="135" max="135" width="9.85546875" style="15" bestFit="1" customWidth="1"/>
    <col min="136" max="139" width="8" style="15"/>
    <col min="140" max="140" width="9.140625" style="15" bestFit="1" customWidth="1"/>
    <col min="141" max="146" width="8" style="15"/>
    <col min="147" max="147" width="9.140625" style="15" bestFit="1" customWidth="1"/>
    <col min="148" max="148" width="8" style="15"/>
    <col min="149" max="149" width="8.140625" style="15" bestFit="1" customWidth="1"/>
    <col min="150" max="160" width="8" style="15"/>
    <col min="161" max="161" width="9.85546875" style="15" bestFit="1" customWidth="1"/>
    <col min="162" max="167" width="8" style="15"/>
    <col min="168" max="168" width="9.85546875" style="15" bestFit="1" customWidth="1"/>
    <col min="169" max="170" width="8" style="15"/>
    <col min="171" max="171" width="9.140625" style="15" bestFit="1" customWidth="1"/>
    <col min="172" max="172" width="12" style="15" customWidth="1"/>
    <col min="173" max="173" width="11.7109375" style="15" bestFit="1" customWidth="1"/>
    <col min="174" max="16384" width="8" style="15"/>
  </cols>
  <sheetData>
    <row r="1" spans="1:172" ht="10.15" customHeight="1">
      <c r="B1" s="112" t="s">
        <v>106</v>
      </c>
      <c r="C1" s="11"/>
      <c r="D1" s="12" t="s">
        <v>166</v>
      </c>
      <c r="E1" s="153"/>
      <c r="F1" s="14" t="s">
        <v>108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6"/>
    </row>
    <row r="2" spans="1:172" ht="12" customHeight="1">
      <c r="B2" s="112" t="s">
        <v>109</v>
      </c>
      <c r="C2" s="11"/>
      <c r="D2" s="18" t="s">
        <v>228</v>
      </c>
      <c r="E2" s="151"/>
      <c r="F2" s="14" t="s">
        <v>110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6"/>
    </row>
    <row r="3" spans="1:172" ht="10.15" customHeight="1">
      <c r="B3" s="112" t="s">
        <v>111</v>
      </c>
      <c r="C3" s="11"/>
      <c r="D3" s="18"/>
      <c r="E3" s="167"/>
      <c r="F3" s="14" t="s">
        <v>112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</row>
    <row r="4" spans="1:172" ht="10.15" customHeight="1">
      <c r="C4" s="354" t="s">
        <v>106</v>
      </c>
      <c r="D4" s="12" t="s">
        <v>166</v>
      </c>
      <c r="F4" s="150"/>
      <c r="G4" s="14" t="s">
        <v>108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</row>
    <row r="5" spans="1:172" ht="10.15" customHeight="1">
      <c r="C5" s="354" t="s">
        <v>109</v>
      </c>
      <c r="D5" s="18" t="s">
        <v>492</v>
      </c>
      <c r="F5" s="151"/>
      <c r="G5" s="14" t="s">
        <v>230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</row>
    <row r="6" spans="1:172" ht="10.15" customHeight="1">
      <c r="C6" s="354" t="s">
        <v>111</v>
      </c>
      <c r="D6" s="18"/>
      <c r="F6" s="152"/>
      <c r="G6" s="14" t="s">
        <v>112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</row>
    <row r="7" spans="1:172" ht="10.15" customHeight="1">
      <c r="C7" s="354" t="s">
        <v>113</v>
      </c>
      <c r="D7" s="175">
        <f>'OUT - CFC - Bunga &amp; Angsuran'!H4</f>
        <v>0</v>
      </c>
      <c r="E7" s="20" t="s">
        <v>114</v>
      </c>
      <c r="F7" s="20" t="s">
        <v>114</v>
      </c>
      <c r="G7" s="20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</row>
    <row r="8" spans="1:172">
      <c r="B8" s="113"/>
      <c r="C8" s="15"/>
      <c r="E8" s="350" t="s">
        <v>20</v>
      </c>
      <c r="F8" s="295" t="s">
        <v>21</v>
      </c>
      <c r="G8" s="353" t="s">
        <v>22</v>
      </c>
      <c r="H8" s="295" t="s">
        <v>23</v>
      </c>
      <c r="I8" s="353" t="s">
        <v>24</v>
      </c>
      <c r="J8" s="295" t="s">
        <v>25</v>
      </c>
      <c r="K8" s="295" t="s">
        <v>26</v>
      </c>
      <c r="L8" s="350" t="s">
        <v>20</v>
      </c>
      <c r="M8" s="295" t="s">
        <v>21</v>
      </c>
      <c r="N8" s="353" t="s">
        <v>22</v>
      </c>
      <c r="O8" s="295" t="s">
        <v>23</v>
      </c>
      <c r="P8" s="353" t="s">
        <v>24</v>
      </c>
      <c r="Q8" s="295" t="s">
        <v>25</v>
      </c>
      <c r="R8" s="295" t="s">
        <v>26</v>
      </c>
      <c r="S8" s="350" t="s">
        <v>20</v>
      </c>
      <c r="T8" s="295" t="s">
        <v>21</v>
      </c>
      <c r="U8" s="353" t="s">
        <v>22</v>
      </c>
      <c r="V8" s="295" t="s">
        <v>23</v>
      </c>
      <c r="W8" s="353" t="s">
        <v>24</v>
      </c>
      <c r="X8" s="295" t="s">
        <v>25</v>
      </c>
      <c r="Y8" s="295" t="s">
        <v>26</v>
      </c>
      <c r="Z8" s="350" t="s">
        <v>20</v>
      </c>
      <c r="AA8" s="295" t="s">
        <v>21</v>
      </c>
      <c r="AB8" s="353" t="s">
        <v>22</v>
      </c>
      <c r="AC8" s="295" t="s">
        <v>23</v>
      </c>
      <c r="AD8" s="353" t="s">
        <v>24</v>
      </c>
      <c r="AE8" s="295" t="s">
        <v>25</v>
      </c>
      <c r="AF8" s="295" t="s">
        <v>26</v>
      </c>
      <c r="AG8" s="350" t="s">
        <v>20</v>
      </c>
      <c r="AH8" s="295" t="s">
        <v>21</v>
      </c>
      <c r="AI8" s="353" t="s">
        <v>22</v>
      </c>
      <c r="AJ8" s="295" t="s">
        <v>23</v>
      </c>
      <c r="AK8" s="353" t="s">
        <v>24</v>
      </c>
      <c r="AL8" s="295" t="s">
        <v>25</v>
      </c>
      <c r="AM8" s="295" t="s">
        <v>26</v>
      </c>
      <c r="AN8" s="350" t="s">
        <v>20</v>
      </c>
      <c r="AO8" s="295" t="s">
        <v>21</v>
      </c>
      <c r="AP8" s="353" t="s">
        <v>22</v>
      </c>
      <c r="AQ8" s="295" t="s">
        <v>23</v>
      </c>
      <c r="AR8" s="353" t="s">
        <v>24</v>
      </c>
      <c r="AS8" s="295" t="s">
        <v>25</v>
      </c>
      <c r="AT8" s="295" t="s">
        <v>26</v>
      </c>
      <c r="AU8" s="350" t="s">
        <v>20</v>
      </c>
      <c r="AV8" s="295" t="s">
        <v>21</v>
      </c>
      <c r="AW8" s="353" t="s">
        <v>22</v>
      </c>
      <c r="AX8" s="295" t="s">
        <v>23</v>
      </c>
      <c r="AY8" s="353" t="s">
        <v>24</v>
      </c>
      <c r="AZ8" s="295" t="s">
        <v>25</v>
      </c>
      <c r="BA8" s="295" t="s">
        <v>26</v>
      </c>
      <c r="BB8" s="350" t="s">
        <v>20</v>
      </c>
      <c r="BC8" s="295" t="s">
        <v>21</v>
      </c>
      <c r="BD8" s="353" t="s">
        <v>22</v>
      </c>
      <c r="BE8" s="295" t="s">
        <v>23</v>
      </c>
      <c r="BF8" s="353" t="s">
        <v>24</v>
      </c>
      <c r="BG8" s="295" t="s">
        <v>25</v>
      </c>
      <c r="BH8" s="295" t="s">
        <v>26</v>
      </c>
      <c r="BI8" s="350" t="s">
        <v>20</v>
      </c>
      <c r="BJ8" s="295" t="s">
        <v>21</v>
      </c>
      <c r="BK8" s="353" t="s">
        <v>22</v>
      </c>
      <c r="BL8" s="295" t="s">
        <v>23</v>
      </c>
      <c r="BM8" s="353" t="s">
        <v>24</v>
      </c>
      <c r="BN8" s="295" t="s">
        <v>25</v>
      </c>
      <c r="BO8" s="295" t="s">
        <v>26</v>
      </c>
      <c r="BP8" s="350" t="s">
        <v>20</v>
      </c>
      <c r="BQ8" s="295" t="s">
        <v>21</v>
      </c>
      <c r="BR8" s="353" t="s">
        <v>22</v>
      </c>
      <c r="BS8" s="295" t="s">
        <v>23</v>
      </c>
      <c r="BT8" s="353" t="s">
        <v>24</v>
      </c>
      <c r="BU8" s="295" t="s">
        <v>25</v>
      </c>
      <c r="BV8" s="295" t="s">
        <v>26</v>
      </c>
      <c r="BW8" s="350" t="s">
        <v>20</v>
      </c>
      <c r="BX8" s="295" t="s">
        <v>21</v>
      </c>
      <c r="BY8" s="353" t="s">
        <v>22</v>
      </c>
      <c r="BZ8" s="295" t="s">
        <v>23</v>
      </c>
      <c r="CA8" s="353" t="s">
        <v>24</v>
      </c>
      <c r="CB8" s="295" t="s">
        <v>25</v>
      </c>
      <c r="CC8" s="295" t="s">
        <v>26</v>
      </c>
      <c r="CD8" s="350" t="s">
        <v>20</v>
      </c>
      <c r="CE8" s="295" t="s">
        <v>21</v>
      </c>
      <c r="CF8" s="353" t="s">
        <v>22</v>
      </c>
      <c r="CG8" s="295" t="s">
        <v>23</v>
      </c>
      <c r="CH8" s="353" t="s">
        <v>24</v>
      </c>
      <c r="CI8" s="295" t="s">
        <v>25</v>
      </c>
      <c r="CJ8" s="295" t="s">
        <v>26</v>
      </c>
      <c r="CK8" s="350" t="s">
        <v>20</v>
      </c>
      <c r="CL8" s="295" t="s">
        <v>21</v>
      </c>
      <c r="CM8" s="353" t="s">
        <v>22</v>
      </c>
      <c r="CN8" s="295" t="s">
        <v>23</v>
      </c>
      <c r="CO8" s="353" t="s">
        <v>24</v>
      </c>
      <c r="CP8" s="295" t="s">
        <v>25</v>
      </c>
      <c r="CQ8" s="295" t="s">
        <v>26</v>
      </c>
      <c r="CR8" s="350" t="s">
        <v>20</v>
      </c>
      <c r="CS8" s="295" t="s">
        <v>21</v>
      </c>
      <c r="CT8" s="353" t="s">
        <v>22</v>
      </c>
      <c r="CU8" s="295" t="s">
        <v>23</v>
      </c>
      <c r="CV8" s="353" t="s">
        <v>24</v>
      </c>
      <c r="CW8" s="295" t="s">
        <v>25</v>
      </c>
      <c r="CX8" s="295" t="s">
        <v>26</v>
      </c>
      <c r="CY8" s="350" t="s">
        <v>20</v>
      </c>
      <c r="CZ8" s="295" t="s">
        <v>21</v>
      </c>
      <c r="DA8" s="353" t="s">
        <v>22</v>
      </c>
      <c r="DB8" s="295" t="s">
        <v>23</v>
      </c>
      <c r="DC8" s="353" t="s">
        <v>24</v>
      </c>
      <c r="DD8" s="295" t="s">
        <v>25</v>
      </c>
      <c r="DE8" s="295" t="s">
        <v>26</v>
      </c>
      <c r="DF8" s="350" t="s">
        <v>20</v>
      </c>
      <c r="DG8" s="295" t="s">
        <v>21</v>
      </c>
      <c r="DH8" s="353" t="s">
        <v>22</v>
      </c>
      <c r="DI8" s="295" t="s">
        <v>23</v>
      </c>
      <c r="DJ8" s="353" t="s">
        <v>24</v>
      </c>
      <c r="DK8" s="295" t="s">
        <v>25</v>
      </c>
      <c r="DL8" s="295" t="s">
        <v>26</v>
      </c>
      <c r="DM8" s="350" t="s">
        <v>20</v>
      </c>
      <c r="DN8" s="295" t="s">
        <v>21</v>
      </c>
      <c r="DO8" s="353" t="s">
        <v>22</v>
      </c>
      <c r="DP8" s="295" t="s">
        <v>23</v>
      </c>
      <c r="DQ8" s="353" t="s">
        <v>24</v>
      </c>
      <c r="DR8" s="295" t="s">
        <v>25</v>
      </c>
      <c r="DS8" s="295" t="s">
        <v>26</v>
      </c>
      <c r="DT8" s="350" t="s">
        <v>20</v>
      </c>
      <c r="DU8" s="295" t="s">
        <v>21</v>
      </c>
      <c r="DV8" s="353" t="s">
        <v>22</v>
      </c>
      <c r="DW8" s="295" t="s">
        <v>23</v>
      </c>
      <c r="DX8" s="353" t="s">
        <v>24</v>
      </c>
      <c r="DY8" s="295" t="s">
        <v>25</v>
      </c>
      <c r="DZ8" s="295" t="s">
        <v>26</v>
      </c>
      <c r="EA8" s="350" t="s">
        <v>20</v>
      </c>
      <c r="EB8" s="295" t="s">
        <v>21</v>
      </c>
      <c r="EC8" s="353" t="s">
        <v>22</v>
      </c>
      <c r="ED8" s="295" t="s">
        <v>23</v>
      </c>
      <c r="EE8" s="353" t="s">
        <v>24</v>
      </c>
      <c r="EF8" s="295" t="s">
        <v>25</v>
      </c>
      <c r="EG8" s="295" t="s">
        <v>26</v>
      </c>
      <c r="EH8" s="350" t="s">
        <v>20</v>
      </c>
      <c r="EI8" s="295" t="s">
        <v>21</v>
      </c>
      <c r="EJ8" s="353" t="s">
        <v>22</v>
      </c>
      <c r="EK8" s="295" t="s">
        <v>23</v>
      </c>
      <c r="EL8" s="353" t="s">
        <v>24</v>
      </c>
      <c r="EM8" s="295" t="s">
        <v>25</v>
      </c>
      <c r="EN8" s="295" t="s">
        <v>26</v>
      </c>
      <c r="EO8" s="350" t="s">
        <v>20</v>
      </c>
      <c r="EP8" s="295" t="s">
        <v>21</v>
      </c>
      <c r="EQ8" s="353" t="s">
        <v>22</v>
      </c>
      <c r="ER8" s="295" t="s">
        <v>23</v>
      </c>
      <c r="ES8" s="353" t="s">
        <v>24</v>
      </c>
      <c r="ET8" s="295" t="s">
        <v>25</v>
      </c>
      <c r="EU8" s="295" t="s">
        <v>26</v>
      </c>
      <c r="EV8" s="350" t="s">
        <v>20</v>
      </c>
      <c r="EW8" s="295" t="s">
        <v>21</v>
      </c>
      <c r="EX8" s="353" t="s">
        <v>22</v>
      </c>
      <c r="EY8" s="295" t="s">
        <v>23</v>
      </c>
      <c r="EZ8" s="353" t="s">
        <v>24</v>
      </c>
      <c r="FA8" s="295" t="s">
        <v>25</v>
      </c>
      <c r="FB8" s="295" t="s">
        <v>26</v>
      </c>
      <c r="FC8" s="350" t="s">
        <v>20</v>
      </c>
      <c r="FD8" s="295" t="s">
        <v>21</v>
      </c>
      <c r="FE8" s="353" t="s">
        <v>22</v>
      </c>
      <c r="FF8" s="295" t="s">
        <v>23</v>
      </c>
      <c r="FG8" s="353" t="s">
        <v>24</v>
      </c>
      <c r="FH8" s="295" t="s">
        <v>25</v>
      </c>
      <c r="FI8" s="295" t="s">
        <v>26</v>
      </c>
      <c r="FJ8" s="350" t="s">
        <v>20</v>
      </c>
      <c r="FK8" s="295" t="s">
        <v>21</v>
      </c>
      <c r="FL8" s="353" t="s">
        <v>22</v>
      </c>
      <c r="FM8" s="295" t="s">
        <v>23</v>
      </c>
      <c r="FN8" s="353" t="s">
        <v>24</v>
      </c>
      <c r="FO8" s="295" t="s">
        <v>25</v>
      </c>
    </row>
    <row r="9" spans="1:172" ht="12.75">
      <c r="B9" s="114"/>
      <c r="C9" s="21"/>
      <c r="D9" s="4" t="s">
        <v>118</v>
      </c>
      <c r="E9" s="152">
        <v>45704</v>
      </c>
      <c r="F9" s="302">
        <v>45705</v>
      </c>
      <c r="G9" s="151">
        <v>45706</v>
      </c>
      <c r="H9" s="302">
        <v>45707</v>
      </c>
      <c r="I9" s="151">
        <v>45708</v>
      </c>
      <c r="J9" s="302">
        <v>45709</v>
      </c>
      <c r="K9" s="302">
        <v>45710</v>
      </c>
      <c r="L9" s="152">
        <v>45711</v>
      </c>
      <c r="M9" s="302">
        <v>45712</v>
      </c>
      <c r="N9" s="151">
        <v>45713</v>
      </c>
      <c r="O9" s="302">
        <v>45714</v>
      </c>
      <c r="P9" s="151">
        <v>45715</v>
      </c>
      <c r="Q9" s="302">
        <v>45716</v>
      </c>
      <c r="R9" s="302">
        <v>45717</v>
      </c>
      <c r="S9" s="152">
        <v>45718</v>
      </c>
      <c r="T9" s="302">
        <v>45719</v>
      </c>
      <c r="U9" s="151">
        <v>45720</v>
      </c>
      <c r="V9" s="302">
        <v>45721</v>
      </c>
      <c r="W9" s="151">
        <v>45722</v>
      </c>
      <c r="X9" s="302">
        <v>45723</v>
      </c>
      <c r="Y9" s="302">
        <v>45724</v>
      </c>
      <c r="Z9" s="152">
        <v>45725</v>
      </c>
      <c r="AA9" s="302">
        <v>45726</v>
      </c>
      <c r="AB9" s="151">
        <v>45727</v>
      </c>
      <c r="AC9" s="302">
        <v>45728</v>
      </c>
      <c r="AD9" s="151">
        <v>45729</v>
      </c>
      <c r="AE9" s="302">
        <v>45730</v>
      </c>
      <c r="AF9" s="302">
        <v>45731</v>
      </c>
      <c r="AG9" s="152">
        <v>45732</v>
      </c>
      <c r="AH9" s="302">
        <v>45733</v>
      </c>
      <c r="AI9" s="151">
        <v>45734</v>
      </c>
      <c r="AJ9" s="302">
        <v>45735</v>
      </c>
      <c r="AK9" s="151">
        <v>45736</v>
      </c>
      <c r="AL9" s="302">
        <v>45737</v>
      </c>
      <c r="AM9" s="302">
        <v>45738</v>
      </c>
      <c r="AN9" s="152">
        <v>45739</v>
      </c>
      <c r="AO9" s="302">
        <v>45740</v>
      </c>
      <c r="AP9" s="151">
        <v>45741</v>
      </c>
      <c r="AQ9" s="302">
        <v>45742</v>
      </c>
      <c r="AR9" s="151">
        <v>45743</v>
      </c>
      <c r="AS9" s="302">
        <v>45744</v>
      </c>
      <c r="AT9" s="302">
        <v>45745</v>
      </c>
      <c r="AU9" s="152">
        <v>45746</v>
      </c>
      <c r="AV9" s="302">
        <v>45747</v>
      </c>
      <c r="AW9" s="151">
        <v>45748</v>
      </c>
      <c r="AX9" s="302">
        <v>45749</v>
      </c>
      <c r="AY9" s="151">
        <v>45750</v>
      </c>
      <c r="AZ9" s="302">
        <v>45751</v>
      </c>
      <c r="BA9" s="302">
        <v>45752</v>
      </c>
      <c r="BB9" s="152">
        <v>45753</v>
      </c>
      <c r="BC9" s="302">
        <v>45754</v>
      </c>
      <c r="BD9" s="151">
        <v>45755</v>
      </c>
      <c r="BE9" s="302">
        <v>45756</v>
      </c>
      <c r="BF9" s="151">
        <v>45757</v>
      </c>
      <c r="BG9" s="302">
        <v>45758</v>
      </c>
      <c r="BH9" s="302">
        <v>45759</v>
      </c>
      <c r="BI9" s="152">
        <v>45760</v>
      </c>
      <c r="BJ9" s="302">
        <v>45761</v>
      </c>
      <c r="BK9" s="151">
        <v>45762</v>
      </c>
      <c r="BL9" s="302">
        <v>45763</v>
      </c>
      <c r="BM9" s="151">
        <v>45764</v>
      </c>
      <c r="BN9" s="302">
        <v>45765</v>
      </c>
      <c r="BO9" s="302">
        <v>45766</v>
      </c>
      <c r="BP9" s="152">
        <v>45767</v>
      </c>
      <c r="BQ9" s="302">
        <v>45768</v>
      </c>
      <c r="BR9" s="151">
        <v>45769</v>
      </c>
      <c r="BS9" s="302">
        <v>45770</v>
      </c>
      <c r="BT9" s="151">
        <v>45771</v>
      </c>
      <c r="BU9" s="302">
        <v>45772</v>
      </c>
      <c r="BV9" s="302">
        <v>45773</v>
      </c>
      <c r="BW9" s="152">
        <v>45774</v>
      </c>
      <c r="BX9" s="302">
        <v>45775</v>
      </c>
      <c r="BY9" s="151">
        <v>45776</v>
      </c>
      <c r="BZ9" s="302">
        <v>45777</v>
      </c>
      <c r="CA9" s="151">
        <v>45778</v>
      </c>
      <c r="CB9" s="302">
        <v>45779</v>
      </c>
      <c r="CC9" s="302">
        <v>45780</v>
      </c>
      <c r="CD9" s="152">
        <v>45781</v>
      </c>
      <c r="CE9" s="302">
        <v>45782</v>
      </c>
      <c r="CF9" s="151">
        <v>45783</v>
      </c>
      <c r="CG9" s="302">
        <v>45784</v>
      </c>
      <c r="CH9" s="151">
        <v>45785</v>
      </c>
      <c r="CI9" s="302">
        <v>45786</v>
      </c>
      <c r="CJ9" s="302">
        <v>45787</v>
      </c>
      <c r="CK9" s="152">
        <v>45788</v>
      </c>
      <c r="CL9" s="302">
        <v>45789</v>
      </c>
      <c r="CM9" s="151">
        <v>45790</v>
      </c>
      <c r="CN9" s="302">
        <v>45791</v>
      </c>
      <c r="CO9" s="151">
        <v>45792</v>
      </c>
      <c r="CP9" s="302">
        <v>45793</v>
      </c>
      <c r="CQ9" s="302">
        <v>45794</v>
      </c>
      <c r="CR9" s="152">
        <v>45795</v>
      </c>
      <c r="CS9" s="302">
        <v>45796</v>
      </c>
      <c r="CT9" s="346">
        <v>45797</v>
      </c>
      <c r="CU9" s="351">
        <v>45798</v>
      </c>
      <c r="CV9" s="346">
        <v>45799</v>
      </c>
      <c r="CW9" s="351">
        <v>45800</v>
      </c>
      <c r="CX9" s="351">
        <v>45801</v>
      </c>
      <c r="CY9" s="352">
        <v>45802</v>
      </c>
      <c r="CZ9" s="351">
        <v>45803</v>
      </c>
      <c r="DA9" s="346">
        <v>45804</v>
      </c>
      <c r="DB9" s="351">
        <v>45805</v>
      </c>
      <c r="DC9" s="346">
        <v>45806</v>
      </c>
      <c r="DD9" s="351">
        <v>45807</v>
      </c>
      <c r="DE9" s="351">
        <v>45808</v>
      </c>
      <c r="DF9" s="503">
        <v>45809</v>
      </c>
      <c r="DG9" s="302">
        <v>45810</v>
      </c>
      <c r="DH9" s="504">
        <v>45811</v>
      </c>
      <c r="DI9" s="302">
        <v>45812</v>
      </c>
      <c r="DJ9" s="504">
        <v>45813</v>
      </c>
      <c r="DK9" s="302">
        <v>45814</v>
      </c>
      <c r="DL9" s="302">
        <v>45815</v>
      </c>
      <c r="DM9" s="503">
        <v>45816</v>
      </c>
      <c r="DN9" s="302">
        <v>45817</v>
      </c>
      <c r="DO9" s="504">
        <v>45818</v>
      </c>
      <c r="DP9" s="302">
        <v>45819</v>
      </c>
      <c r="DQ9" s="504">
        <v>45820</v>
      </c>
      <c r="DR9" s="302">
        <v>45821</v>
      </c>
      <c r="DS9" s="302">
        <v>45822</v>
      </c>
      <c r="DT9" s="503">
        <v>45823</v>
      </c>
      <c r="DU9" s="302">
        <v>45824</v>
      </c>
      <c r="DV9" s="504">
        <v>45825</v>
      </c>
      <c r="DW9" s="302">
        <v>45826</v>
      </c>
      <c r="DX9" s="504">
        <v>45827</v>
      </c>
      <c r="DY9" s="302">
        <v>45828</v>
      </c>
      <c r="DZ9" s="302">
        <v>45829</v>
      </c>
      <c r="EA9" s="503">
        <v>45830</v>
      </c>
      <c r="EB9" s="302">
        <v>45831</v>
      </c>
      <c r="EC9" s="504">
        <v>45832</v>
      </c>
      <c r="ED9" s="302">
        <v>45833</v>
      </c>
      <c r="EE9" s="504">
        <v>45834</v>
      </c>
      <c r="EF9" s="302">
        <v>45835</v>
      </c>
      <c r="EG9" s="302">
        <v>45836</v>
      </c>
      <c r="EH9" s="503">
        <v>45837</v>
      </c>
      <c r="EI9" s="302">
        <v>45838</v>
      </c>
      <c r="EJ9" s="504">
        <v>45839</v>
      </c>
      <c r="EK9" s="302">
        <v>45840</v>
      </c>
      <c r="EL9" s="504">
        <v>45841</v>
      </c>
      <c r="EM9" s="302">
        <v>45842</v>
      </c>
      <c r="EN9" s="302">
        <v>45843</v>
      </c>
      <c r="EO9" s="503">
        <v>45844</v>
      </c>
      <c r="EP9" s="302">
        <v>45845</v>
      </c>
      <c r="EQ9" s="504">
        <v>45846</v>
      </c>
      <c r="ER9" s="302">
        <v>45847</v>
      </c>
      <c r="ES9" s="504">
        <v>45848</v>
      </c>
      <c r="ET9" s="302">
        <v>45849</v>
      </c>
      <c r="EU9" s="302">
        <v>45850</v>
      </c>
      <c r="EV9" s="503">
        <v>45851</v>
      </c>
      <c r="EW9" s="302">
        <v>45852</v>
      </c>
      <c r="EX9" s="504">
        <v>45853</v>
      </c>
      <c r="EY9" s="302">
        <v>45854</v>
      </c>
      <c r="EZ9" s="504">
        <v>45855</v>
      </c>
      <c r="FA9" s="302">
        <v>45856</v>
      </c>
      <c r="FB9" s="302">
        <v>45857</v>
      </c>
      <c r="FC9" s="503">
        <v>45858</v>
      </c>
      <c r="FD9" s="302">
        <v>45859</v>
      </c>
      <c r="FE9" s="504">
        <v>45860</v>
      </c>
      <c r="FF9" s="302">
        <v>45861</v>
      </c>
      <c r="FG9" s="504">
        <v>45862</v>
      </c>
      <c r="FH9" s="302">
        <v>45863</v>
      </c>
      <c r="FI9" s="302">
        <v>45864</v>
      </c>
      <c r="FJ9" s="503">
        <v>45865</v>
      </c>
      <c r="FK9" s="302">
        <v>45866</v>
      </c>
      <c r="FL9" s="504">
        <v>45867</v>
      </c>
      <c r="FM9" s="302">
        <v>45868</v>
      </c>
      <c r="FN9" s="504">
        <v>45869</v>
      </c>
      <c r="FO9" s="302">
        <v>45870</v>
      </c>
      <c r="FP9" s="349" t="s">
        <v>28</v>
      </c>
    </row>
    <row r="10" spans="1:172" ht="9.9499999999999993" customHeight="1">
      <c r="B10" s="114"/>
      <c r="C10" s="21"/>
      <c r="D10" s="3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3"/>
    </row>
    <row r="11" spans="1:172" s="116" customFormat="1" ht="33.75">
      <c r="A11" s="360" t="s">
        <v>493</v>
      </c>
      <c r="B11" s="459" t="s">
        <v>117</v>
      </c>
      <c r="C11" s="373" t="s">
        <v>201</v>
      </c>
      <c r="D11" s="366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361"/>
      <c r="AM11" s="361"/>
      <c r="AN11" s="361"/>
      <c r="AO11" s="361"/>
      <c r="AP11" s="361"/>
      <c r="AQ11" s="361"/>
      <c r="AR11" s="361"/>
      <c r="AS11" s="361"/>
      <c r="AT11" s="361"/>
      <c r="AU11" s="361"/>
      <c r="AV11" s="361"/>
      <c r="AW11" s="361"/>
      <c r="AX11" s="361"/>
      <c r="AY11" s="361"/>
      <c r="AZ11" s="361"/>
      <c r="BA11" s="361"/>
      <c r="BB11" s="361"/>
      <c r="BC11" s="361"/>
      <c r="BD11" s="361"/>
      <c r="BE11" s="361"/>
      <c r="BF11" s="361"/>
      <c r="BG11" s="361"/>
      <c r="BH11" s="361"/>
      <c r="BI11" s="361"/>
      <c r="BJ11" s="361"/>
      <c r="BK11" s="361"/>
      <c r="BL11" s="361"/>
      <c r="BM11" s="361"/>
      <c r="BN11" s="361"/>
      <c r="BO11" s="361"/>
      <c r="BP11" s="361"/>
      <c r="BQ11" s="361"/>
      <c r="BR11" s="361"/>
      <c r="BS11" s="361"/>
      <c r="BT11" s="361"/>
      <c r="BU11" s="361"/>
      <c r="BV11" s="361"/>
      <c r="BW11" s="361"/>
      <c r="BX11" s="361"/>
      <c r="BY11" s="361"/>
      <c r="BZ11" s="361"/>
      <c r="CA11" s="361"/>
      <c r="CB11" s="361"/>
      <c r="CC11" s="361"/>
      <c r="CD11" s="361"/>
      <c r="CE11" s="361"/>
      <c r="CF11" s="361"/>
      <c r="CG11" s="361"/>
      <c r="CH11" s="361"/>
      <c r="CI11" s="361"/>
      <c r="CJ11" s="361"/>
      <c r="CK11" s="361"/>
      <c r="CL11" s="361"/>
      <c r="CM11" s="361"/>
      <c r="CN11" s="361"/>
      <c r="CO11" s="361"/>
      <c r="CP11" s="361"/>
      <c r="CQ11" s="361"/>
      <c r="CR11" s="361"/>
      <c r="CS11" s="361"/>
      <c r="CT11" s="361"/>
      <c r="CU11" s="362"/>
      <c r="CV11" s="363"/>
      <c r="CW11" s="363"/>
      <c r="CX11" s="363"/>
      <c r="CY11" s="363"/>
      <c r="CZ11" s="363"/>
      <c r="DA11" s="363"/>
      <c r="DB11" s="363"/>
      <c r="DC11" s="363"/>
      <c r="DD11" s="363"/>
      <c r="DE11" s="363"/>
      <c r="DF11" s="363"/>
      <c r="DG11" s="363"/>
      <c r="DH11" s="363"/>
      <c r="DI11" s="363"/>
      <c r="DJ11" s="363"/>
      <c r="DK11" s="363"/>
      <c r="DL11" s="363"/>
      <c r="DM11" s="363"/>
      <c r="DN11" s="363"/>
      <c r="DO11" s="363"/>
      <c r="DP11" s="363"/>
      <c r="DQ11" s="363"/>
      <c r="DR11" s="363"/>
      <c r="DS11" s="363"/>
      <c r="DT11" s="363"/>
      <c r="DU11" s="363"/>
      <c r="DV11" s="363"/>
      <c r="DW11" s="363"/>
      <c r="DX11" s="363"/>
      <c r="DY11" s="363"/>
      <c r="DZ11" s="363"/>
      <c r="EA11" s="363"/>
      <c r="EB11" s="363"/>
      <c r="EC11" s="363"/>
      <c r="ED11" s="363"/>
      <c r="EE11" s="363"/>
      <c r="EF11" s="363"/>
      <c r="EG11" s="363"/>
      <c r="EH11" s="363"/>
      <c r="EI11" s="363"/>
      <c r="EJ11" s="363"/>
      <c r="EK11" s="363"/>
      <c r="EL11" s="363"/>
      <c r="EM11" s="363"/>
      <c r="EN11" s="363"/>
      <c r="EO11" s="363"/>
      <c r="EP11" s="363"/>
      <c r="EQ11" s="363"/>
      <c r="ER11" s="363"/>
      <c r="ES11" s="363"/>
      <c r="ET11" s="363"/>
      <c r="EU11" s="363"/>
      <c r="EV11" s="363"/>
      <c r="EW11" s="363"/>
      <c r="EX11" s="363"/>
      <c r="EY11" s="363"/>
      <c r="EZ11" s="363"/>
      <c r="FA11" s="363"/>
      <c r="FB11" s="363"/>
      <c r="FC11" s="363"/>
      <c r="FD11" s="363"/>
      <c r="FE11" s="363"/>
      <c r="FF11" s="363"/>
      <c r="FG11" s="363"/>
      <c r="FH11" s="363"/>
      <c r="FI11" s="363"/>
      <c r="FJ11" s="363"/>
      <c r="FK11" s="363"/>
      <c r="FL11" s="363"/>
      <c r="FM11" s="363"/>
      <c r="FN11" s="363"/>
      <c r="FO11" s="363"/>
      <c r="FP11" s="363"/>
    </row>
    <row r="12" spans="1:172" ht="27" customHeight="1">
      <c r="A12" s="398" t="s">
        <v>494</v>
      </c>
      <c r="B12" s="399">
        <v>500000</v>
      </c>
      <c r="C12" s="400" t="s">
        <v>89</v>
      </c>
      <c r="D12" s="401"/>
      <c r="E12" s="402"/>
      <c r="F12" s="402"/>
      <c r="G12" s="402"/>
      <c r="H12" s="402"/>
      <c r="I12" s="403"/>
      <c r="J12" s="403"/>
      <c r="K12" s="403"/>
      <c r="L12" s="403"/>
      <c r="M12" s="403"/>
      <c r="N12" s="403"/>
      <c r="O12" s="403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  <c r="AE12" s="403"/>
      <c r="AF12" s="403"/>
      <c r="AG12" s="403"/>
      <c r="AH12" s="403"/>
      <c r="AI12" s="403"/>
      <c r="AJ12" s="403"/>
      <c r="AK12" s="403"/>
      <c r="AL12" s="403"/>
      <c r="AM12" s="403"/>
      <c r="AN12" s="403"/>
      <c r="AO12" s="403"/>
      <c r="AP12" s="403"/>
      <c r="AQ12" s="412"/>
      <c r="AR12" s="403"/>
      <c r="AS12" s="403"/>
      <c r="AT12" s="403"/>
      <c r="AU12" s="403"/>
      <c r="AV12" s="403"/>
      <c r="AW12" s="403"/>
      <c r="AX12" s="403"/>
      <c r="AY12" s="403"/>
      <c r="AZ12" s="403"/>
      <c r="BA12" s="403"/>
      <c r="BB12" s="403"/>
      <c r="BC12" s="403"/>
      <c r="BD12" s="403"/>
      <c r="BE12" s="403"/>
      <c r="BF12" s="403"/>
      <c r="BG12" s="403"/>
      <c r="BH12" s="403"/>
      <c r="BI12" s="403"/>
      <c r="BJ12" s="403"/>
      <c r="BK12" s="403"/>
      <c r="BL12" s="403"/>
      <c r="BM12" s="403"/>
      <c r="BN12" s="403"/>
      <c r="BO12" s="403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  <c r="CJ12" s="403"/>
      <c r="CK12" s="403"/>
      <c r="CL12" s="403"/>
      <c r="CM12" s="403"/>
      <c r="CN12" s="403"/>
      <c r="CO12" s="403"/>
      <c r="CP12" s="403"/>
      <c r="CQ12" s="403"/>
      <c r="CR12" s="403"/>
      <c r="CS12" s="403" t="s">
        <v>494</v>
      </c>
      <c r="CT12" s="403">
        <v>500000</v>
      </c>
      <c r="CU12" s="404" t="s">
        <v>89</v>
      </c>
      <c r="CV12" s="405"/>
      <c r="CW12" s="405"/>
      <c r="CX12" s="405"/>
      <c r="CY12" s="405"/>
      <c r="CZ12" s="405"/>
      <c r="DA12" s="405"/>
      <c r="DB12" s="405"/>
      <c r="DC12" s="405"/>
      <c r="DD12" s="405">
        <v>500000</v>
      </c>
      <c r="DE12" s="86"/>
      <c r="DF12" s="86"/>
      <c r="DG12" s="86"/>
      <c r="DH12" s="86"/>
      <c r="DI12" s="86"/>
      <c r="DJ12" s="86"/>
      <c r="DK12" s="86"/>
      <c r="DL12" s="86"/>
      <c r="DM12" s="86"/>
      <c r="DN12" s="86"/>
      <c r="DO12" s="86"/>
      <c r="DP12" s="86"/>
      <c r="DQ12" s="86"/>
      <c r="DR12" s="86"/>
      <c r="DS12" s="86"/>
      <c r="DT12" s="86"/>
      <c r="DU12" s="86"/>
      <c r="DV12" s="86"/>
      <c r="DW12" s="86"/>
      <c r="DX12" s="86"/>
      <c r="DY12" s="86"/>
      <c r="DZ12" s="86"/>
      <c r="EA12" s="86"/>
      <c r="EB12" s="86"/>
      <c r="EC12" s="86"/>
      <c r="ED12" s="86"/>
      <c r="EE12" s="86"/>
      <c r="EF12" s="86"/>
      <c r="EG12" s="86"/>
      <c r="EH12" s="86"/>
      <c r="EI12" s="86"/>
      <c r="EJ12" s="86"/>
      <c r="EK12" s="86"/>
      <c r="EL12" s="86"/>
      <c r="EM12" s="86"/>
      <c r="EN12" s="86"/>
      <c r="EO12" s="8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  <c r="FJ12" s="86"/>
      <c r="FK12" s="86"/>
      <c r="FL12" s="86"/>
      <c r="FM12" s="86"/>
      <c r="FN12" s="86"/>
      <c r="FO12" s="86"/>
      <c r="FP12" s="405">
        <f>SUM(E12:FO12)</f>
        <v>1000000</v>
      </c>
    </row>
    <row r="13" spans="1:172" ht="27" customHeight="1">
      <c r="A13" s="398" t="s">
        <v>495</v>
      </c>
      <c r="B13" s="399">
        <v>390000</v>
      </c>
      <c r="C13" s="400" t="s">
        <v>89</v>
      </c>
      <c r="D13" s="401"/>
      <c r="E13" s="402"/>
      <c r="F13" s="402"/>
      <c r="G13" s="402"/>
      <c r="H13" s="402"/>
      <c r="I13" s="403"/>
      <c r="J13" s="403"/>
      <c r="K13" s="403"/>
      <c r="L13" s="403"/>
      <c r="M13" s="403"/>
      <c r="N13" s="403"/>
      <c r="O13" s="403"/>
      <c r="P13" s="403"/>
      <c r="Q13" s="403"/>
      <c r="R13" s="403"/>
      <c r="S13" s="403"/>
      <c r="T13" s="403"/>
      <c r="U13" s="403"/>
      <c r="V13" s="403"/>
      <c r="W13" s="403"/>
      <c r="X13" s="403"/>
      <c r="Y13" s="403"/>
      <c r="Z13" s="403"/>
      <c r="AA13" s="403"/>
      <c r="AB13" s="403"/>
      <c r="AC13" s="403"/>
      <c r="AD13" s="403"/>
      <c r="AE13" s="403"/>
      <c r="AF13" s="403"/>
      <c r="AG13" s="403"/>
      <c r="AH13" s="403"/>
      <c r="AI13" s="403"/>
      <c r="AJ13" s="403"/>
      <c r="AK13" s="403"/>
      <c r="AL13" s="403"/>
      <c r="AM13" s="403"/>
      <c r="AN13" s="403"/>
      <c r="AO13" s="403"/>
      <c r="AP13" s="403"/>
      <c r="AQ13" s="412"/>
      <c r="AR13" s="403"/>
      <c r="AS13" s="403"/>
      <c r="AT13" s="403"/>
      <c r="AU13" s="403"/>
      <c r="AV13" s="403"/>
      <c r="AW13" s="403"/>
      <c r="AX13" s="403"/>
      <c r="AY13" s="403"/>
      <c r="AZ13" s="403"/>
      <c r="BA13" s="403"/>
      <c r="BB13" s="403"/>
      <c r="BC13" s="403"/>
      <c r="BD13" s="403"/>
      <c r="BE13" s="403"/>
      <c r="BF13" s="403"/>
      <c r="BG13" s="403"/>
      <c r="BH13" s="403"/>
      <c r="BI13" s="403"/>
      <c r="BJ13" s="403"/>
      <c r="BK13" s="403"/>
      <c r="BL13" s="403"/>
      <c r="BM13" s="403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  <c r="CJ13" s="403"/>
      <c r="CK13" s="403"/>
      <c r="CL13" s="403"/>
      <c r="CM13" s="403"/>
      <c r="CN13" s="403"/>
      <c r="CO13" s="403"/>
      <c r="CP13" s="403"/>
      <c r="CQ13" s="403"/>
      <c r="CR13" s="403"/>
      <c r="CS13" s="403" t="s">
        <v>495</v>
      </c>
      <c r="CT13" s="403">
        <v>390000</v>
      </c>
      <c r="CU13" s="404" t="s">
        <v>89</v>
      </c>
      <c r="CV13" s="405"/>
      <c r="CW13" s="405"/>
      <c r="CX13" s="405"/>
      <c r="CY13" s="405"/>
      <c r="CZ13" s="405"/>
      <c r="DA13" s="405"/>
      <c r="DB13" s="405"/>
      <c r="DC13" s="405"/>
      <c r="DD13" s="405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  <c r="DS13" s="86"/>
      <c r="DT13" s="86"/>
      <c r="DU13" s="86"/>
      <c r="DV13" s="86"/>
      <c r="DW13" s="86"/>
      <c r="DX13" s="86"/>
      <c r="DY13" s="86"/>
      <c r="DZ13" s="86"/>
      <c r="EA13" s="86"/>
      <c r="EB13" s="86"/>
      <c r="EC13" s="86"/>
      <c r="ED13" s="86"/>
      <c r="EE13" s="86"/>
      <c r="EF13" s="86"/>
      <c r="EG13" s="86"/>
      <c r="EH13" s="86"/>
      <c r="EI13" s="86"/>
      <c r="EJ13" s="86"/>
      <c r="EK13" s="86"/>
      <c r="EL13" s="86"/>
      <c r="EM13" s="86"/>
      <c r="EN13" s="86"/>
      <c r="EO13" s="8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  <c r="FJ13" s="86"/>
      <c r="FK13" s="86"/>
      <c r="FL13" s="86"/>
      <c r="FM13" s="86"/>
      <c r="FN13" s="86"/>
      <c r="FO13" s="86"/>
      <c r="FP13" s="405">
        <f t="shared" ref="FP13:FP60" si="0">SUM(E13:FO13)</f>
        <v>390000</v>
      </c>
    </row>
    <row r="14" spans="1:172" ht="27" customHeight="1">
      <c r="A14" s="398" t="s">
        <v>496</v>
      </c>
      <c r="B14" s="399">
        <v>1150000</v>
      </c>
      <c r="C14" s="400" t="s">
        <v>89</v>
      </c>
      <c r="D14" s="401"/>
      <c r="E14" s="402"/>
      <c r="F14" s="402"/>
      <c r="G14" s="402"/>
      <c r="H14" s="402"/>
      <c r="I14" s="403"/>
      <c r="J14" s="403"/>
      <c r="K14" s="403"/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3"/>
      <c r="Z14" s="403"/>
      <c r="AA14" s="403"/>
      <c r="AB14" s="403"/>
      <c r="AC14" s="403"/>
      <c r="AD14" s="403"/>
      <c r="AE14" s="403"/>
      <c r="AF14" s="403"/>
      <c r="AG14" s="403"/>
      <c r="AH14" s="403"/>
      <c r="AI14" s="403"/>
      <c r="AJ14" s="403"/>
      <c r="AK14" s="403"/>
      <c r="AL14" s="403"/>
      <c r="AM14" s="403"/>
      <c r="AN14" s="403"/>
      <c r="AO14" s="403"/>
      <c r="AP14" s="403"/>
      <c r="AQ14" s="412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  <c r="CJ14" s="403"/>
      <c r="CK14" s="403"/>
      <c r="CL14" s="403"/>
      <c r="CM14" s="403"/>
      <c r="CN14" s="403"/>
      <c r="CO14" s="403"/>
      <c r="CP14" s="403"/>
      <c r="CQ14" s="403"/>
      <c r="CR14" s="403"/>
      <c r="CS14" s="403" t="s">
        <v>496</v>
      </c>
      <c r="CT14" s="403">
        <v>1150000</v>
      </c>
      <c r="CU14" s="404" t="s">
        <v>89</v>
      </c>
      <c r="CV14" s="405"/>
      <c r="CW14" s="405"/>
      <c r="CX14" s="405"/>
      <c r="CY14" s="405"/>
      <c r="CZ14" s="405"/>
      <c r="DA14" s="405"/>
      <c r="DB14" s="405"/>
      <c r="DC14" s="405"/>
      <c r="DD14" s="405">
        <v>1150000</v>
      </c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86"/>
      <c r="EI14" s="86"/>
      <c r="EJ14" s="86"/>
      <c r="EK14" s="86"/>
      <c r="EL14" s="86"/>
      <c r="EM14" s="86"/>
      <c r="EN14" s="86"/>
      <c r="EO14" s="8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  <c r="FJ14" s="86"/>
      <c r="FK14" s="86"/>
      <c r="FL14" s="86"/>
      <c r="FM14" s="86"/>
      <c r="FN14" s="86"/>
      <c r="FO14" s="86"/>
      <c r="FP14" s="405">
        <f t="shared" si="0"/>
        <v>2300000</v>
      </c>
    </row>
    <row r="15" spans="1:172" ht="27" customHeight="1">
      <c r="A15" s="398" t="s">
        <v>497</v>
      </c>
      <c r="B15" s="399">
        <v>48000</v>
      </c>
      <c r="C15" s="400" t="s">
        <v>89</v>
      </c>
      <c r="D15" s="401"/>
      <c r="E15" s="402"/>
      <c r="F15" s="402"/>
      <c r="G15" s="402"/>
      <c r="H15" s="402"/>
      <c r="I15" s="403"/>
      <c r="J15" s="403"/>
      <c r="K15" s="403"/>
      <c r="L15" s="403"/>
      <c r="M15" s="403"/>
      <c r="N15" s="403"/>
      <c r="O15" s="403"/>
      <c r="P15" s="403"/>
      <c r="Q15" s="403"/>
      <c r="R15" s="403"/>
      <c r="S15" s="403"/>
      <c r="T15" s="403"/>
      <c r="U15" s="403"/>
      <c r="V15" s="403"/>
      <c r="W15" s="403"/>
      <c r="X15" s="403"/>
      <c r="Y15" s="403"/>
      <c r="Z15" s="403"/>
      <c r="AA15" s="403"/>
      <c r="AB15" s="403"/>
      <c r="AC15" s="403"/>
      <c r="AD15" s="403"/>
      <c r="AE15" s="403"/>
      <c r="AF15" s="403"/>
      <c r="AG15" s="403"/>
      <c r="AH15" s="403"/>
      <c r="AI15" s="403"/>
      <c r="AJ15" s="403"/>
      <c r="AK15" s="403"/>
      <c r="AL15" s="403"/>
      <c r="AM15" s="403"/>
      <c r="AN15" s="403"/>
      <c r="AO15" s="403"/>
      <c r="AP15" s="403"/>
      <c r="AQ15" s="412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  <c r="CJ15" s="403"/>
      <c r="CK15" s="403"/>
      <c r="CL15" s="403"/>
      <c r="CM15" s="403"/>
      <c r="CN15" s="403"/>
      <c r="CO15" s="403"/>
      <c r="CP15" s="403"/>
      <c r="CQ15" s="403"/>
      <c r="CR15" s="403"/>
      <c r="CS15" s="403" t="s">
        <v>497</v>
      </c>
      <c r="CT15" s="403">
        <v>48000</v>
      </c>
      <c r="CU15" s="404" t="s">
        <v>89</v>
      </c>
      <c r="CV15" s="405"/>
      <c r="CW15" s="405"/>
      <c r="CX15" s="405"/>
      <c r="CY15" s="405"/>
      <c r="CZ15" s="405"/>
      <c r="DA15" s="405"/>
      <c r="DB15" s="405"/>
      <c r="DC15" s="405"/>
      <c r="DD15" s="405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  <c r="DS15" s="86"/>
      <c r="DT15" s="86"/>
      <c r="DU15" s="86"/>
      <c r="DV15" s="86"/>
      <c r="DW15" s="86"/>
      <c r="DX15" s="86"/>
      <c r="DY15" s="86"/>
      <c r="DZ15" s="86"/>
      <c r="EA15" s="86"/>
      <c r="EB15" s="86"/>
      <c r="EC15" s="86"/>
      <c r="ED15" s="86"/>
      <c r="EE15" s="86"/>
      <c r="EF15" s="86"/>
      <c r="EG15" s="86"/>
      <c r="EH15" s="86"/>
      <c r="EI15" s="86"/>
      <c r="EJ15" s="86"/>
      <c r="EK15" s="86"/>
      <c r="EL15" s="86"/>
      <c r="EM15" s="86"/>
      <c r="EN15" s="86"/>
      <c r="EO15" s="8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405">
        <f t="shared" si="0"/>
        <v>48000</v>
      </c>
    </row>
    <row r="16" spans="1:172" ht="27" customHeight="1">
      <c r="A16" s="398" t="s">
        <v>498</v>
      </c>
      <c r="B16" s="399">
        <v>3500000</v>
      </c>
      <c r="C16" s="400" t="s">
        <v>89</v>
      </c>
      <c r="D16" s="401"/>
      <c r="E16" s="402"/>
      <c r="F16" s="402"/>
      <c r="G16" s="402"/>
      <c r="H16" s="402"/>
      <c r="I16" s="403"/>
      <c r="J16" s="403"/>
      <c r="K16" s="403"/>
      <c r="L16" s="403"/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3"/>
      <c r="AA16" s="403"/>
      <c r="AB16" s="403"/>
      <c r="AC16" s="403"/>
      <c r="AD16" s="403"/>
      <c r="AE16" s="403"/>
      <c r="AF16" s="403"/>
      <c r="AG16" s="403"/>
      <c r="AH16" s="403"/>
      <c r="AI16" s="403"/>
      <c r="AJ16" s="403"/>
      <c r="AK16" s="403"/>
      <c r="AL16" s="403"/>
      <c r="AM16" s="403"/>
      <c r="AN16" s="403"/>
      <c r="AO16" s="403"/>
      <c r="AP16" s="403"/>
      <c r="AQ16" s="412"/>
      <c r="AR16" s="403"/>
      <c r="AS16" s="403"/>
      <c r="AT16" s="403"/>
      <c r="AU16" s="403"/>
      <c r="AV16" s="403"/>
      <c r="AW16" s="403"/>
      <c r="AX16" s="403"/>
      <c r="AY16" s="403"/>
      <c r="AZ16" s="403"/>
      <c r="BA16" s="403"/>
      <c r="BB16" s="403"/>
      <c r="BC16" s="403"/>
      <c r="BD16" s="403"/>
      <c r="BE16" s="403"/>
      <c r="BF16" s="403"/>
      <c r="BG16" s="403"/>
      <c r="BH16" s="403"/>
      <c r="BI16" s="403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  <c r="CJ16" s="403"/>
      <c r="CK16" s="403"/>
      <c r="CL16" s="403"/>
      <c r="CM16" s="403"/>
      <c r="CN16" s="403"/>
      <c r="CO16" s="403"/>
      <c r="CP16" s="403"/>
      <c r="CQ16" s="403"/>
      <c r="CR16" s="403"/>
      <c r="CS16" s="403" t="s">
        <v>498</v>
      </c>
      <c r="CT16" s="403">
        <v>3500000</v>
      </c>
      <c r="CU16" s="404" t="s">
        <v>89</v>
      </c>
      <c r="CV16" s="405"/>
      <c r="CW16" s="405"/>
      <c r="CX16" s="405"/>
      <c r="CY16" s="405"/>
      <c r="CZ16" s="405"/>
      <c r="DA16" s="405"/>
      <c r="DB16" s="405"/>
      <c r="DC16" s="405"/>
      <c r="DD16" s="405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  <c r="EE16" s="86"/>
      <c r="EF16" s="86"/>
      <c r="EG16" s="86"/>
      <c r="EH16" s="86"/>
      <c r="EI16" s="86"/>
      <c r="EJ16" s="86"/>
      <c r="EK16" s="86"/>
      <c r="EL16" s="86"/>
      <c r="EM16" s="86"/>
      <c r="EN16" s="86"/>
      <c r="EO16" s="8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  <c r="FJ16" s="86"/>
      <c r="FK16" s="86"/>
      <c r="FL16" s="86"/>
      <c r="FM16" s="86"/>
      <c r="FN16" s="86"/>
      <c r="FO16" s="86"/>
      <c r="FP16" s="405">
        <f t="shared" si="0"/>
        <v>3500000</v>
      </c>
    </row>
    <row r="17" spans="1:172" ht="27" customHeight="1">
      <c r="A17" s="398" t="s">
        <v>499</v>
      </c>
      <c r="B17" s="399">
        <v>2000000</v>
      </c>
      <c r="C17" s="400" t="s">
        <v>89</v>
      </c>
      <c r="D17" s="401"/>
      <c r="E17" s="402"/>
      <c r="F17" s="402"/>
      <c r="G17" s="402"/>
      <c r="H17" s="402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3"/>
      <c r="AA17" s="403"/>
      <c r="AB17" s="403"/>
      <c r="AC17" s="403"/>
      <c r="AD17" s="403"/>
      <c r="AE17" s="403"/>
      <c r="AF17" s="403"/>
      <c r="AG17" s="403"/>
      <c r="AH17" s="403"/>
      <c r="AI17" s="403"/>
      <c r="AJ17" s="403"/>
      <c r="AK17" s="403"/>
      <c r="AL17" s="403"/>
      <c r="AM17" s="403"/>
      <c r="AN17" s="403"/>
      <c r="AO17" s="403"/>
      <c r="AP17" s="403"/>
      <c r="AQ17" s="412"/>
      <c r="AR17" s="403"/>
      <c r="AS17" s="403"/>
      <c r="AT17" s="403"/>
      <c r="AU17" s="403"/>
      <c r="AV17" s="403"/>
      <c r="AW17" s="403"/>
      <c r="AX17" s="403"/>
      <c r="AY17" s="403"/>
      <c r="AZ17" s="403"/>
      <c r="BA17" s="403"/>
      <c r="BB17" s="403"/>
      <c r="BC17" s="403"/>
      <c r="BD17" s="403"/>
      <c r="BE17" s="403"/>
      <c r="BF17" s="403"/>
      <c r="BG17" s="403"/>
      <c r="BH17" s="403"/>
      <c r="BI17" s="403"/>
      <c r="BJ17" s="403"/>
      <c r="BK17" s="403"/>
      <c r="BL17" s="403"/>
      <c r="BM17" s="403"/>
      <c r="BN17" s="403"/>
      <c r="BO17" s="403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  <c r="CJ17" s="403"/>
      <c r="CK17" s="403"/>
      <c r="CL17" s="403"/>
      <c r="CM17" s="403"/>
      <c r="CN17" s="403"/>
      <c r="CO17" s="403"/>
      <c r="CP17" s="403"/>
      <c r="CQ17" s="403"/>
      <c r="CR17" s="403"/>
      <c r="CS17" s="403" t="s">
        <v>499</v>
      </c>
      <c r="CT17" s="403">
        <v>2000000</v>
      </c>
      <c r="CU17" s="404" t="s">
        <v>89</v>
      </c>
      <c r="CV17" s="405"/>
      <c r="CW17" s="405"/>
      <c r="CX17" s="405"/>
      <c r="CY17" s="405"/>
      <c r="CZ17" s="405"/>
      <c r="DA17" s="405"/>
      <c r="DB17" s="405"/>
      <c r="DC17" s="405"/>
      <c r="DD17" s="405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405">
        <f t="shared" si="0"/>
        <v>2000000</v>
      </c>
    </row>
    <row r="18" spans="1:172" ht="27" customHeight="1">
      <c r="A18" s="398" t="s">
        <v>500</v>
      </c>
      <c r="B18" s="399">
        <v>50000</v>
      </c>
      <c r="C18" s="400" t="s">
        <v>89</v>
      </c>
      <c r="D18" s="401"/>
      <c r="E18" s="402"/>
      <c r="F18" s="402"/>
      <c r="G18" s="402"/>
      <c r="H18" s="402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  <c r="AD18" s="403"/>
      <c r="AE18" s="403"/>
      <c r="AF18" s="403"/>
      <c r="AG18" s="403"/>
      <c r="AH18" s="403"/>
      <c r="AI18" s="403"/>
      <c r="AJ18" s="403"/>
      <c r="AK18" s="403"/>
      <c r="AL18" s="403"/>
      <c r="AM18" s="403"/>
      <c r="AN18" s="403"/>
      <c r="AO18" s="403"/>
      <c r="AP18" s="403"/>
      <c r="AQ18" s="412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  <c r="CJ18" s="403"/>
      <c r="CK18" s="403"/>
      <c r="CL18" s="403"/>
      <c r="CM18" s="403"/>
      <c r="CN18" s="403"/>
      <c r="CO18" s="403"/>
      <c r="CP18" s="403"/>
      <c r="CQ18" s="403"/>
      <c r="CR18" s="403"/>
      <c r="CS18" s="403" t="s">
        <v>500</v>
      </c>
      <c r="CT18" s="403">
        <v>50000</v>
      </c>
      <c r="CU18" s="404" t="s">
        <v>89</v>
      </c>
      <c r="CV18" s="405"/>
      <c r="CW18" s="405"/>
      <c r="CX18" s="405"/>
      <c r="CY18" s="405"/>
      <c r="CZ18" s="405"/>
      <c r="DA18" s="405"/>
      <c r="DB18" s="405"/>
      <c r="DC18" s="405"/>
      <c r="DD18" s="405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405">
        <f t="shared" si="0"/>
        <v>50000</v>
      </c>
    </row>
    <row r="19" spans="1:172" ht="27" customHeight="1">
      <c r="A19" s="398" t="s">
        <v>501</v>
      </c>
      <c r="B19" s="399">
        <v>70000</v>
      </c>
      <c r="C19" s="400" t="s">
        <v>89</v>
      </c>
      <c r="D19" s="401"/>
      <c r="E19" s="402"/>
      <c r="F19" s="402"/>
      <c r="G19" s="402"/>
      <c r="H19" s="402"/>
      <c r="I19" s="403"/>
      <c r="J19" s="403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3"/>
      <c r="AA19" s="403"/>
      <c r="AB19" s="403"/>
      <c r="AC19" s="403"/>
      <c r="AD19" s="403"/>
      <c r="AE19" s="403"/>
      <c r="AF19" s="403"/>
      <c r="AG19" s="403"/>
      <c r="AH19" s="403"/>
      <c r="AI19" s="403"/>
      <c r="AJ19" s="403"/>
      <c r="AK19" s="403"/>
      <c r="AL19" s="403"/>
      <c r="AM19" s="403"/>
      <c r="AN19" s="403"/>
      <c r="AO19" s="403"/>
      <c r="AP19" s="403"/>
      <c r="AQ19" s="412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  <c r="CJ19" s="403"/>
      <c r="CK19" s="403"/>
      <c r="CL19" s="403"/>
      <c r="CM19" s="403"/>
      <c r="CN19" s="403"/>
      <c r="CO19" s="403"/>
      <c r="CP19" s="403"/>
      <c r="CQ19" s="403"/>
      <c r="CR19" s="403"/>
      <c r="CS19" s="403" t="s">
        <v>501</v>
      </c>
      <c r="CT19" s="403">
        <v>70000</v>
      </c>
      <c r="CU19" s="404" t="s">
        <v>89</v>
      </c>
      <c r="CV19" s="405"/>
      <c r="CW19" s="405"/>
      <c r="CX19" s="405"/>
      <c r="CY19" s="405"/>
      <c r="CZ19" s="405"/>
      <c r="DA19" s="405"/>
      <c r="DB19" s="405"/>
      <c r="DC19" s="405"/>
      <c r="DD19" s="405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405">
        <f t="shared" si="0"/>
        <v>70000</v>
      </c>
    </row>
    <row r="20" spans="1:172" ht="27" customHeight="1">
      <c r="A20" s="398" t="s">
        <v>502</v>
      </c>
      <c r="B20" s="399">
        <v>405150</v>
      </c>
      <c r="C20" s="400" t="s">
        <v>89</v>
      </c>
      <c r="D20" s="401"/>
      <c r="E20" s="402"/>
      <c r="F20" s="402"/>
      <c r="G20" s="402"/>
      <c r="H20" s="402"/>
      <c r="I20" s="403"/>
      <c r="J20" s="403"/>
      <c r="K20" s="403"/>
      <c r="L20" s="403"/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3"/>
      <c r="AA20" s="403"/>
      <c r="AB20" s="403"/>
      <c r="AC20" s="403"/>
      <c r="AD20" s="403"/>
      <c r="AE20" s="403"/>
      <c r="AF20" s="403"/>
      <c r="AG20" s="403"/>
      <c r="AH20" s="403"/>
      <c r="AI20" s="403"/>
      <c r="AJ20" s="403"/>
      <c r="AK20" s="403"/>
      <c r="AL20" s="403"/>
      <c r="AM20" s="403"/>
      <c r="AN20" s="403"/>
      <c r="AO20" s="403"/>
      <c r="AP20" s="403"/>
      <c r="AQ20" s="412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  <c r="CJ20" s="403"/>
      <c r="CK20" s="403"/>
      <c r="CL20" s="403"/>
      <c r="CM20" s="403"/>
      <c r="CN20" s="403"/>
      <c r="CO20" s="403"/>
      <c r="CP20" s="403"/>
      <c r="CQ20" s="403"/>
      <c r="CR20" s="403"/>
      <c r="CS20" s="403" t="s">
        <v>502</v>
      </c>
      <c r="CT20" s="403">
        <v>405150</v>
      </c>
      <c r="CU20" s="404" t="s">
        <v>89</v>
      </c>
      <c r="CV20" s="405"/>
      <c r="CW20" s="405"/>
      <c r="CX20" s="405"/>
      <c r="CY20" s="405"/>
      <c r="CZ20" s="405"/>
      <c r="DA20" s="405"/>
      <c r="DB20" s="405"/>
      <c r="DC20" s="405"/>
      <c r="DD20" s="405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86"/>
      <c r="DV20" s="86"/>
      <c r="DW20" s="86"/>
      <c r="DX20" s="86"/>
      <c r="DY20" s="86"/>
      <c r="DZ20" s="86"/>
      <c r="EA20" s="86"/>
      <c r="EB20" s="86"/>
      <c r="EC20" s="86"/>
      <c r="ED20" s="86"/>
      <c r="EE20" s="86"/>
      <c r="EF20" s="86"/>
      <c r="EG20" s="86"/>
      <c r="EH20" s="86"/>
      <c r="EI20" s="86"/>
      <c r="EJ20" s="86"/>
      <c r="EK20" s="86"/>
      <c r="EL20" s="86"/>
      <c r="EM20" s="86"/>
      <c r="EN20" s="86"/>
      <c r="EO20" s="8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  <c r="FJ20" s="86"/>
      <c r="FK20" s="86"/>
      <c r="FL20" s="86"/>
      <c r="FM20" s="86"/>
      <c r="FN20" s="86"/>
      <c r="FO20" s="86"/>
      <c r="FP20" s="405">
        <f t="shared" si="0"/>
        <v>405150</v>
      </c>
    </row>
    <row r="21" spans="1:172" ht="27" customHeight="1">
      <c r="A21" s="398" t="s">
        <v>503</v>
      </c>
      <c r="B21" s="399">
        <v>405150</v>
      </c>
      <c r="C21" s="400" t="s">
        <v>89</v>
      </c>
      <c r="D21" s="401"/>
      <c r="E21" s="402"/>
      <c r="F21" s="402"/>
      <c r="G21" s="402"/>
      <c r="H21" s="402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3"/>
      <c r="AA21" s="403"/>
      <c r="AB21" s="403"/>
      <c r="AC21" s="403"/>
      <c r="AD21" s="403"/>
      <c r="AE21" s="403"/>
      <c r="AF21" s="403"/>
      <c r="AG21" s="403"/>
      <c r="AH21" s="403"/>
      <c r="AI21" s="403"/>
      <c r="AJ21" s="403"/>
      <c r="AK21" s="403"/>
      <c r="AL21" s="403"/>
      <c r="AM21" s="403"/>
      <c r="AN21" s="403"/>
      <c r="AO21" s="403"/>
      <c r="AP21" s="403"/>
      <c r="AQ21" s="412"/>
      <c r="AR21" s="403"/>
      <c r="AS21" s="403"/>
      <c r="AT21" s="403"/>
      <c r="AU21" s="403"/>
      <c r="AV21" s="403"/>
      <c r="AW21" s="403"/>
      <c r="AX21" s="403"/>
      <c r="AY21" s="403"/>
      <c r="AZ21" s="403"/>
      <c r="BA21" s="403"/>
      <c r="BB21" s="403"/>
      <c r="BC21" s="403"/>
      <c r="BD21" s="403"/>
      <c r="BE21" s="403"/>
      <c r="BF21" s="403"/>
      <c r="BG21" s="403"/>
      <c r="BH21" s="403"/>
      <c r="BI21" s="403"/>
      <c r="BJ21" s="403"/>
      <c r="BK21" s="403"/>
      <c r="BL21" s="403"/>
      <c r="BM21" s="403"/>
      <c r="BN21" s="403"/>
      <c r="BO21" s="403"/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  <c r="CJ21" s="403"/>
      <c r="CK21" s="403"/>
      <c r="CL21" s="403"/>
      <c r="CM21" s="403"/>
      <c r="CN21" s="403"/>
      <c r="CO21" s="403"/>
      <c r="CP21" s="403"/>
      <c r="CQ21" s="403"/>
      <c r="CR21" s="403"/>
      <c r="CS21" s="403" t="s">
        <v>503</v>
      </c>
      <c r="CT21" s="403">
        <v>405150</v>
      </c>
      <c r="CU21" s="404" t="s">
        <v>89</v>
      </c>
      <c r="CV21" s="405"/>
      <c r="CW21" s="405"/>
      <c r="CX21" s="405"/>
      <c r="CY21" s="405"/>
      <c r="CZ21" s="405"/>
      <c r="DA21" s="405"/>
      <c r="DB21" s="405"/>
      <c r="DC21" s="405"/>
      <c r="DD21" s="405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6"/>
      <c r="EI21" s="86"/>
      <c r="EJ21" s="86"/>
      <c r="EK21" s="86"/>
      <c r="EL21" s="86"/>
      <c r="EM21" s="86"/>
      <c r="EN21" s="86"/>
      <c r="EO21" s="8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  <c r="FJ21" s="86"/>
      <c r="FK21" s="86"/>
      <c r="FL21" s="86"/>
      <c r="FM21" s="86"/>
      <c r="FN21" s="86"/>
      <c r="FO21" s="86"/>
      <c r="FP21" s="405">
        <f t="shared" si="0"/>
        <v>405150</v>
      </c>
    </row>
    <row r="22" spans="1:172" ht="27" customHeight="1">
      <c r="A22" s="398" t="s">
        <v>504</v>
      </c>
      <c r="B22" s="399">
        <v>550000</v>
      </c>
      <c r="C22" s="400" t="s">
        <v>89</v>
      </c>
      <c r="D22" s="401"/>
      <c r="E22" s="402"/>
      <c r="F22" s="402"/>
      <c r="G22" s="402"/>
      <c r="H22" s="402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  <c r="AJ22" s="403"/>
      <c r="AK22" s="403"/>
      <c r="AL22" s="403"/>
      <c r="AM22" s="403"/>
      <c r="AN22" s="403"/>
      <c r="AO22" s="403"/>
      <c r="AP22" s="403"/>
      <c r="AQ22" s="412"/>
      <c r="AR22" s="403"/>
      <c r="AS22" s="403"/>
      <c r="AT22" s="403"/>
      <c r="AU22" s="403"/>
      <c r="AV22" s="403"/>
      <c r="AW22" s="403"/>
      <c r="AX22" s="403"/>
      <c r="AY22" s="403"/>
      <c r="AZ22" s="403"/>
      <c r="BA22" s="403"/>
      <c r="BB22" s="403"/>
      <c r="BC22" s="403"/>
      <c r="BD22" s="403"/>
      <c r="BE22" s="403"/>
      <c r="BF22" s="403"/>
      <c r="BG22" s="403"/>
      <c r="BH22" s="403"/>
      <c r="BI22" s="403"/>
      <c r="BJ22" s="403"/>
      <c r="BK22" s="403"/>
      <c r="BL22" s="403"/>
      <c r="BM22" s="403"/>
      <c r="BN22" s="403"/>
      <c r="BO22" s="40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  <c r="CJ22" s="403"/>
      <c r="CK22" s="403"/>
      <c r="CL22" s="403"/>
      <c r="CM22" s="403"/>
      <c r="CN22" s="403"/>
      <c r="CO22" s="403"/>
      <c r="CP22" s="403"/>
      <c r="CQ22" s="403"/>
      <c r="CR22" s="403"/>
      <c r="CS22" s="403" t="s">
        <v>504</v>
      </c>
      <c r="CT22" s="403">
        <v>550000</v>
      </c>
      <c r="CU22" s="404" t="s">
        <v>89</v>
      </c>
      <c r="CV22" s="405"/>
      <c r="CW22" s="405"/>
      <c r="CX22" s="405"/>
      <c r="CY22" s="405"/>
      <c r="CZ22" s="405"/>
      <c r="DA22" s="405"/>
      <c r="DB22" s="405"/>
      <c r="DC22" s="405"/>
      <c r="DD22" s="405"/>
      <c r="DE22" s="86"/>
      <c r="DF22" s="86"/>
      <c r="DG22" s="86"/>
      <c r="DH22" s="86"/>
      <c r="DI22" s="86"/>
      <c r="DJ22" s="86"/>
      <c r="DK22" s="86"/>
      <c r="DL22" s="86"/>
      <c r="DM22" s="86"/>
      <c r="DN22" s="86"/>
      <c r="DO22" s="86"/>
      <c r="DP22" s="86"/>
      <c r="DQ22" s="86"/>
      <c r="DR22" s="86"/>
      <c r="DS22" s="86"/>
      <c r="DT22" s="86"/>
      <c r="DU22" s="86"/>
      <c r="DV22" s="86"/>
      <c r="DW22" s="86"/>
      <c r="DX22" s="86"/>
      <c r="DY22" s="86"/>
      <c r="DZ22" s="86"/>
      <c r="EA22" s="86"/>
      <c r="EB22" s="86"/>
      <c r="EC22" s="86"/>
      <c r="ED22" s="86"/>
      <c r="EE22" s="86"/>
      <c r="EF22" s="86"/>
      <c r="EG22" s="86"/>
      <c r="EH22" s="86"/>
      <c r="EI22" s="86"/>
      <c r="EJ22" s="86"/>
      <c r="EK22" s="86"/>
      <c r="EL22" s="86"/>
      <c r="EM22" s="86"/>
      <c r="EN22" s="86"/>
      <c r="EO22" s="8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  <c r="FJ22" s="86"/>
      <c r="FK22" s="86"/>
      <c r="FL22" s="86"/>
      <c r="FM22" s="86"/>
      <c r="FN22" s="86"/>
      <c r="FO22" s="86"/>
      <c r="FP22" s="405">
        <f t="shared" si="0"/>
        <v>550000</v>
      </c>
    </row>
    <row r="23" spans="1:172" ht="27" customHeight="1">
      <c r="A23" s="398" t="s">
        <v>505</v>
      </c>
      <c r="B23" s="399">
        <v>350000</v>
      </c>
      <c r="C23" s="400" t="s">
        <v>89</v>
      </c>
      <c r="D23" s="401"/>
      <c r="E23" s="402"/>
      <c r="F23" s="402"/>
      <c r="G23" s="402"/>
      <c r="H23" s="402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3"/>
      <c r="AA23" s="403"/>
      <c r="AB23" s="403"/>
      <c r="AC23" s="403"/>
      <c r="AD23" s="403"/>
      <c r="AE23" s="403"/>
      <c r="AF23" s="403"/>
      <c r="AG23" s="403"/>
      <c r="AH23" s="403"/>
      <c r="AI23" s="403"/>
      <c r="AJ23" s="403"/>
      <c r="AK23" s="403"/>
      <c r="AL23" s="403"/>
      <c r="AM23" s="403"/>
      <c r="AN23" s="403"/>
      <c r="AO23" s="403"/>
      <c r="AP23" s="403"/>
      <c r="AQ23" s="412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  <c r="CJ23" s="403"/>
      <c r="CK23" s="403"/>
      <c r="CL23" s="403"/>
      <c r="CM23" s="403"/>
      <c r="CN23" s="403"/>
      <c r="CO23" s="403"/>
      <c r="CP23" s="403"/>
      <c r="CQ23" s="403"/>
      <c r="CR23" s="403"/>
      <c r="CS23" s="403" t="s">
        <v>505</v>
      </c>
      <c r="CT23" s="403">
        <v>350000</v>
      </c>
      <c r="CU23" s="404" t="s">
        <v>89</v>
      </c>
      <c r="CV23" s="405"/>
      <c r="CW23" s="405"/>
      <c r="CX23" s="405"/>
      <c r="CY23" s="405"/>
      <c r="CZ23" s="405"/>
      <c r="DA23" s="405"/>
      <c r="DB23" s="405"/>
      <c r="DC23" s="405"/>
      <c r="DD23" s="405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6"/>
      <c r="EI23" s="86"/>
      <c r="EJ23" s="86"/>
      <c r="EK23" s="86"/>
      <c r="EL23" s="86"/>
      <c r="EM23" s="86"/>
      <c r="EN23" s="86"/>
      <c r="EO23" s="8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  <c r="FJ23" s="86"/>
      <c r="FK23" s="86"/>
      <c r="FL23" s="86"/>
      <c r="FM23" s="86"/>
      <c r="FN23" s="86"/>
      <c r="FO23" s="86"/>
      <c r="FP23" s="405">
        <f t="shared" si="0"/>
        <v>350000</v>
      </c>
    </row>
    <row r="24" spans="1:172" ht="27" customHeight="1">
      <c r="A24" s="398" t="s">
        <v>506</v>
      </c>
      <c r="B24" s="399">
        <v>430000</v>
      </c>
      <c r="C24" s="400" t="s">
        <v>89</v>
      </c>
      <c r="D24" s="401"/>
      <c r="E24" s="402"/>
      <c r="F24" s="402"/>
      <c r="G24" s="402"/>
      <c r="H24" s="402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3"/>
      <c r="AA24" s="403"/>
      <c r="AB24" s="403"/>
      <c r="AC24" s="403"/>
      <c r="AD24" s="403"/>
      <c r="AE24" s="403"/>
      <c r="AF24" s="403"/>
      <c r="AG24" s="403"/>
      <c r="AH24" s="403"/>
      <c r="AI24" s="403"/>
      <c r="AJ24" s="403"/>
      <c r="AK24" s="403"/>
      <c r="AL24" s="403"/>
      <c r="AM24" s="403"/>
      <c r="AN24" s="403"/>
      <c r="AO24" s="403"/>
      <c r="AP24" s="403"/>
      <c r="AQ24" s="412"/>
      <c r="AR24" s="403"/>
      <c r="AS24" s="403"/>
      <c r="AT24" s="403"/>
      <c r="AU24" s="403"/>
      <c r="AV24" s="403"/>
      <c r="AW24" s="403"/>
      <c r="AX24" s="403"/>
      <c r="AY24" s="403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  <c r="CJ24" s="403"/>
      <c r="CK24" s="403"/>
      <c r="CL24" s="403"/>
      <c r="CM24" s="403"/>
      <c r="CN24" s="403"/>
      <c r="CO24" s="403"/>
      <c r="CP24" s="403"/>
      <c r="CQ24" s="403"/>
      <c r="CR24" s="403"/>
      <c r="CS24" s="403" t="s">
        <v>506</v>
      </c>
      <c r="CT24" s="403">
        <v>430000</v>
      </c>
      <c r="CU24" s="404" t="s">
        <v>89</v>
      </c>
      <c r="CV24" s="405"/>
      <c r="CW24" s="405"/>
      <c r="CX24" s="405"/>
      <c r="CY24" s="405"/>
      <c r="CZ24" s="405"/>
      <c r="DA24" s="405"/>
      <c r="DB24" s="405"/>
      <c r="DC24" s="405"/>
      <c r="DD24" s="405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  <c r="DS24" s="86"/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/>
      <c r="EF24" s="86"/>
      <c r="EG24" s="86"/>
      <c r="EH24" s="86"/>
      <c r="EI24" s="86"/>
      <c r="EJ24" s="86"/>
      <c r="EK24" s="86"/>
      <c r="EL24" s="86"/>
      <c r="EM24" s="86"/>
      <c r="EN24" s="86"/>
      <c r="EO24" s="8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  <c r="FJ24" s="86"/>
      <c r="FK24" s="86"/>
      <c r="FL24" s="86"/>
      <c r="FM24" s="86"/>
      <c r="FN24" s="86"/>
      <c r="FO24" s="86"/>
      <c r="FP24" s="405">
        <f t="shared" si="0"/>
        <v>430000</v>
      </c>
    </row>
    <row r="25" spans="1:172" ht="27" customHeight="1">
      <c r="A25" s="398" t="s">
        <v>507</v>
      </c>
      <c r="B25" s="399">
        <v>150000</v>
      </c>
      <c r="C25" s="400" t="s">
        <v>89</v>
      </c>
      <c r="D25" s="401"/>
      <c r="E25" s="402"/>
      <c r="F25" s="402"/>
      <c r="G25" s="402"/>
      <c r="H25" s="402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3"/>
      <c r="AA25" s="403"/>
      <c r="AB25" s="403"/>
      <c r="AC25" s="403"/>
      <c r="AD25" s="403"/>
      <c r="AE25" s="403"/>
      <c r="AF25" s="403"/>
      <c r="AG25" s="403"/>
      <c r="AH25" s="403"/>
      <c r="AI25" s="403"/>
      <c r="AJ25" s="403"/>
      <c r="AK25" s="403"/>
      <c r="AL25" s="403"/>
      <c r="AM25" s="403"/>
      <c r="AN25" s="403"/>
      <c r="AO25" s="403"/>
      <c r="AP25" s="403"/>
      <c r="AQ25" s="412"/>
      <c r="AR25" s="403"/>
      <c r="AS25" s="403"/>
      <c r="AT25" s="403"/>
      <c r="AU25" s="403"/>
      <c r="AV25" s="403"/>
      <c r="AW25" s="403"/>
      <c r="AX25" s="403"/>
      <c r="AY25" s="403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  <c r="CJ25" s="403"/>
      <c r="CK25" s="403"/>
      <c r="CL25" s="403"/>
      <c r="CM25" s="403"/>
      <c r="CN25" s="403"/>
      <c r="CO25" s="403"/>
      <c r="CP25" s="403"/>
      <c r="CQ25" s="403"/>
      <c r="CR25" s="403"/>
      <c r="CS25" s="403" t="s">
        <v>507</v>
      </c>
      <c r="CT25" s="403">
        <v>150000</v>
      </c>
      <c r="CU25" s="404" t="s">
        <v>89</v>
      </c>
      <c r="CV25" s="405"/>
      <c r="CW25" s="405"/>
      <c r="CX25" s="405"/>
      <c r="CY25" s="405"/>
      <c r="CZ25" s="405"/>
      <c r="DA25" s="405"/>
      <c r="DB25" s="405"/>
      <c r="DC25" s="405"/>
      <c r="DD25" s="405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405">
        <f t="shared" si="0"/>
        <v>150000</v>
      </c>
    </row>
    <row r="26" spans="1:172" ht="27" customHeight="1">
      <c r="A26" s="398" t="s">
        <v>508</v>
      </c>
      <c r="B26" s="399">
        <v>70000</v>
      </c>
      <c r="C26" s="400" t="s">
        <v>89</v>
      </c>
      <c r="D26" s="401"/>
      <c r="E26" s="402"/>
      <c r="F26" s="402"/>
      <c r="G26" s="402"/>
      <c r="H26" s="402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3"/>
      <c r="AA26" s="403"/>
      <c r="AB26" s="403"/>
      <c r="AC26" s="403"/>
      <c r="AD26" s="403"/>
      <c r="AE26" s="403"/>
      <c r="AF26" s="403"/>
      <c r="AG26" s="403"/>
      <c r="AH26" s="403"/>
      <c r="AI26" s="403"/>
      <c r="AJ26" s="403"/>
      <c r="AK26" s="403"/>
      <c r="AL26" s="403"/>
      <c r="AM26" s="403"/>
      <c r="AN26" s="403"/>
      <c r="AO26" s="403"/>
      <c r="AP26" s="403"/>
      <c r="AQ26" s="412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  <c r="CJ26" s="403"/>
      <c r="CK26" s="403"/>
      <c r="CL26" s="403"/>
      <c r="CM26" s="403"/>
      <c r="CN26" s="403"/>
      <c r="CO26" s="403"/>
      <c r="CP26" s="403"/>
      <c r="CQ26" s="403"/>
      <c r="CR26" s="403"/>
      <c r="CS26" s="403" t="s">
        <v>508</v>
      </c>
      <c r="CT26" s="403">
        <v>70000</v>
      </c>
      <c r="CU26" s="404" t="s">
        <v>89</v>
      </c>
      <c r="CV26" s="405"/>
      <c r="CW26" s="405"/>
      <c r="CX26" s="405"/>
      <c r="CY26" s="405">
        <v>70008</v>
      </c>
      <c r="CZ26" s="405"/>
      <c r="DA26" s="405"/>
      <c r="DB26" s="405"/>
      <c r="DC26" s="405"/>
      <c r="DD26" s="405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405">
        <f t="shared" si="0"/>
        <v>140008</v>
      </c>
    </row>
    <row r="27" spans="1:172" ht="27" customHeight="1">
      <c r="A27" s="398" t="s">
        <v>509</v>
      </c>
      <c r="B27" s="399">
        <v>390000</v>
      </c>
      <c r="C27" s="400" t="s">
        <v>89</v>
      </c>
      <c r="D27" s="401"/>
      <c r="E27" s="402"/>
      <c r="F27" s="402"/>
      <c r="G27" s="402"/>
      <c r="H27" s="402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403"/>
      <c r="AC27" s="403"/>
      <c r="AD27" s="403"/>
      <c r="AE27" s="403"/>
      <c r="AF27" s="403"/>
      <c r="AG27" s="403"/>
      <c r="AH27" s="403"/>
      <c r="AI27" s="403"/>
      <c r="AJ27" s="403"/>
      <c r="AK27" s="403"/>
      <c r="AL27" s="403"/>
      <c r="AM27" s="403"/>
      <c r="AN27" s="403"/>
      <c r="AO27" s="403"/>
      <c r="AP27" s="403"/>
      <c r="AQ27" s="412"/>
      <c r="AR27" s="403"/>
      <c r="AS27" s="403"/>
      <c r="AT27" s="403"/>
      <c r="AU27" s="403"/>
      <c r="AV27" s="403"/>
      <c r="AW27" s="403"/>
      <c r="AX27" s="403"/>
      <c r="AY27" s="403"/>
      <c r="AZ27" s="403"/>
      <c r="BA27" s="403"/>
      <c r="BB27" s="403"/>
      <c r="BC27" s="403"/>
      <c r="BD27" s="403"/>
      <c r="BE27" s="403"/>
      <c r="BF27" s="403"/>
      <c r="BG27" s="403"/>
      <c r="BH27" s="403"/>
      <c r="BI27" s="403"/>
      <c r="BJ27" s="403"/>
      <c r="BK27" s="403"/>
      <c r="BL27" s="403"/>
      <c r="BM27" s="403"/>
      <c r="BN27" s="403"/>
      <c r="BO27" s="403"/>
      <c r="BP27" s="403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  <c r="CJ27" s="403"/>
      <c r="CK27" s="403"/>
      <c r="CL27" s="403"/>
      <c r="CM27" s="403"/>
      <c r="CN27" s="403"/>
      <c r="CO27" s="403"/>
      <c r="CP27" s="403"/>
      <c r="CQ27" s="403"/>
      <c r="CR27" s="403"/>
      <c r="CS27" s="403" t="s">
        <v>509</v>
      </c>
      <c r="CT27" s="403">
        <v>390000</v>
      </c>
      <c r="CU27" s="404" t="s">
        <v>89</v>
      </c>
      <c r="CV27" s="405"/>
      <c r="CW27" s="405"/>
      <c r="CX27" s="405"/>
      <c r="CY27" s="405"/>
      <c r="CZ27" s="405"/>
      <c r="DA27" s="405"/>
      <c r="DB27" s="405"/>
      <c r="DC27" s="405"/>
      <c r="DD27" s="405">
        <v>390000</v>
      </c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405">
        <f t="shared" si="0"/>
        <v>780000</v>
      </c>
    </row>
    <row r="28" spans="1:172" ht="27" customHeight="1">
      <c r="A28" s="398" t="s">
        <v>510</v>
      </c>
      <c r="B28" s="399">
        <v>140000</v>
      </c>
      <c r="C28" s="400" t="s">
        <v>89</v>
      </c>
      <c r="D28" s="401"/>
      <c r="E28" s="402"/>
      <c r="F28" s="402"/>
      <c r="G28" s="402"/>
      <c r="H28" s="402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U28" s="403"/>
      <c r="V28" s="403"/>
      <c r="W28" s="403"/>
      <c r="X28" s="403"/>
      <c r="Y28" s="403"/>
      <c r="Z28" s="403"/>
      <c r="AA28" s="403"/>
      <c r="AB28" s="403"/>
      <c r="AC28" s="403"/>
      <c r="AD28" s="403"/>
      <c r="AE28" s="403"/>
      <c r="AF28" s="403"/>
      <c r="AG28" s="403"/>
      <c r="AH28" s="403"/>
      <c r="AI28" s="403"/>
      <c r="AJ28" s="403"/>
      <c r="AK28" s="403"/>
      <c r="AL28" s="403"/>
      <c r="AM28" s="403"/>
      <c r="AN28" s="403"/>
      <c r="AO28" s="403"/>
      <c r="AP28" s="403"/>
      <c r="AQ28" s="412"/>
      <c r="AR28" s="403"/>
      <c r="AS28" s="403"/>
      <c r="AT28" s="403"/>
      <c r="AU28" s="403"/>
      <c r="AV28" s="403"/>
      <c r="AW28" s="403"/>
      <c r="AX28" s="403"/>
      <c r="AY28" s="403"/>
      <c r="AZ28" s="403"/>
      <c r="BA28" s="403"/>
      <c r="BB28" s="403"/>
      <c r="BC28" s="403"/>
      <c r="BD28" s="403"/>
      <c r="BE28" s="403"/>
      <c r="BF28" s="403"/>
      <c r="BG28" s="403"/>
      <c r="BH28" s="403"/>
      <c r="BI28" s="403"/>
      <c r="BJ28" s="403"/>
      <c r="BK28" s="403"/>
      <c r="BL28" s="403"/>
      <c r="BM28" s="403"/>
      <c r="BN28" s="403"/>
      <c r="BO28" s="403"/>
      <c r="BP28" s="403"/>
      <c r="BQ28" s="403"/>
      <c r="BR28" s="403"/>
      <c r="BS28" s="403"/>
      <c r="BT28" s="403"/>
      <c r="BU28" s="403"/>
      <c r="BV28" s="403"/>
      <c r="BW28" s="403"/>
      <c r="BX28" s="403"/>
      <c r="BY28" s="403"/>
      <c r="BZ28" s="403"/>
      <c r="CA28" s="403"/>
      <c r="CB28" s="403"/>
      <c r="CC28" s="403"/>
      <c r="CD28" s="403"/>
      <c r="CE28" s="403"/>
      <c r="CF28" s="403"/>
      <c r="CG28" s="403"/>
      <c r="CH28" s="403"/>
      <c r="CI28" s="403"/>
      <c r="CJ28" s="403"/>
      <c r="CK28" s="403"/>
      <c r="CL28" s="403"/>
      <c r="CM28" s="403"/>
      <c r="CN28" s="403"/>
      <c r="CO28" s="403"/>
      <c r="CP28" s="403"/>
      <c r="CQ28" s="403"/>
      <c r="CR28" s="403"/>
      <c r="CS28" s="403" t="s">
        <v>510</v>
      </c>
      <c r="CT28" s="403">
        <v>140000</v>
      </c>
      <c r="CU28" s="404" t="s">
        <v>89</v>
      </c>
      <c r="CV28" s="405"/>
      <c r="CW28" s="405"/>
      <c r="CX28" s="405"/>
      <c r="CY28" s="405"/>
      <c r="CZ28" s="405"/>
      <c r="DA28" s="405"/>
      <c r="DB28" s="405"/>
      <c r="DC28" s="405"/>
      <c r="DD28" s="405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  <c r="FJ28" s="86"/>
      <c r="FK28" s="86"/>
      <c r="FL28" s="86"/>
      <c r="FM28" s="86"/>
      <c r="FN28" s="86"/>
      <c r="FO28" s="86"/>
      <c r="FP28" s="405">
        <f t="shared" si="0"/>
        <v>140000</v>
      </c>
    </row>
    <row r="29" spans="1:172" ht="27" customHeight="1">
      <c r="A29" s="398" t="s">
        <v>511</v>
      </c>
      <c r="B29" s="399">
        <v>1184750</v>
      </c>
      <c r="C29" s="400" t="s">
        <v>89</v>
      </c>
      <c r="D29" s="401"/>
      <c r="E29" s="402"/>
      <c r="F29" s="402"/>
      <c r="G29" s="402"/>
      <c r="H29" s="402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3"/>
      <c r="AA29" s="403"/>
      <c r="AB29" s="403"/>
      <c r="AC29" s="403"/>
      <c r="AD29" s="403"/>
      <c r="AE29" s="403"/>
      <c r="AF29" s="403"/>
      <c r="AG29" s="403"/>
      <c r="AH29" s="403"/>
      <c r="AI29" s="403"/>
      <c r="AJ29" s="403"/>
      <c r="AK29" s="403"/>
      <c r="AL29" s="403"/>
      <c r="AM29" s="403"/>
      <c r="AN29" s="403"/>
      <c r="AO29" s="403"/>
      <c r="AP29" s="403"/>
      <c r="AQ29" s="412"/>
      <c r="AR29" s="403"/>
      <c r="AS29" s="403"/>
      <c r="AT29" s="403"/>
      <c r="AU29" s="403"/>
      <c r="AV29" s="403"/>
      <c r="AW29" s="403"/>
      <c r="AX29" s="403"/>
      <c r="AY29" s="403"/>
      <c r="AZ29" s="403"/>
      <c r="BA29" s="403"/>
      <c r="BB29" s="403"/>
      <c r="BC29" s="403"/>
      <c r="BD29" s="403"/>
      <c r="BE29" s="403"/>
      <c r="BF29" s="403"/>
      <c r="BG29" s="403"/>
      <c r="BH29" s="403"/>
      <c r="BI29" s="403"/>
      <c r="BJ29" s="403"/>
      <c r="BK29" s="403"/>
      <c r="BL29" s="403"/>
      <c r="BM29" s="403"/>
      <c r="BN29" s="403"/>
      <c r="BO29" s="403"/>
      <c r="BP29" s="403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03"/>
      <c r="CB29" s="403"/>
      <c r="CC29" s="403"/>
      <c r="CD29" s="403"/>
      <c r="CE29" s="403"/>
      <c r="CF29" s="403"/>
      <c r="CG29" s="403"/>
      <c r="CH29" s="403"/>
      <c r="CI29" s="403"/>
      <c r="CJ29" s="403"/>
      <c r="CK29" s="403"/>
      <c r="CL29" s="403"/>
      <c r="CM29" s="403"/>
      <c r="CN29" s="403"/>
      <c r="CO29" s="403"/>
      <c r="CP29" s="403"/>
      <c r="CQ29" s="403"/>
      <c r="CR29" s="403"/>
      <c r="CS29" s="403" t="s">
        <v>511</v>
      </c>
      <c r="CT29" s="403">
        <v>1184750</v>
      </c>
      <c r="CU29" s="404" t="s">
        <v>89</v>
      </c>
      <c r="CV29" s="405"/>
      <c r="CW29" s="405"/>
      <c r="CX29" s="405"/>
      <c r="CY29" s="405"/>
      <c r="CZ29" s="405"/>
      <c r="DA29" s="405"/>
      <c r="DB29" s="405"/>
      <c r="DC29" s="405"/>
      <c r="DD29" s="405"/>
      <c r="DE29" s="86"/>
      <c r="DF29" s="86"/>
      <c r="DG29" s="86"/>
      <c r="DH29" s="86"/>
      <c r="DI29" s="86"/>
      <c r="DJ29" s="86"/>
      <c r="DK29" s="86"/>
      <c r="DL29" s="86"/>
      <c r="DM29" s="86"/>
      <c r="DN29" s="86"/>
      <c r="DO29" s="86"/>
      <c r="DP29" s="86"/>
      <c r="DQ29" s="86"/>
      <c r="DR29" s="86"/>
      <c r="DS29" s="86"/>
      <c r="DT29" s="86"/>
      <c r="DU29" s="86"/>
      <c r="DV29" s="86"/>
      <c r="DW29" s="86"/>
      <c r="DX29" s="86"/>
      <c r="DY29" s="86"/>
      <c r="DZ29" s="86"/>
      <c r="EA29" s="86"/>
      <c r="EB29" s="86"/>
      <c r="EC29" s="86"/>
      <c r="ED29" s="86"/>
      <c r="EE29" s="86"/>
      <c r="EF29" s="86"/>
      <c r="EG29" s="86"/>
      <c r="EH29" s="86"/>
      <c r="EI29" s="86"/>
      <c r="EJ29" s="86"/>
      <c r="EK29" s="86"/>
      <c r="EL29" s="86"/>
      <c r="EM29" s="86"/>
      <c r="EN29" s="86"/>
      <c r="EO29" s="8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  <c r="FJ29" s="86"/>
      <c r="FK29" s="86"/>
      <c r="FL29" s="86"/>
      <c r="FM29" s="86"/>
      <c r="FN29" s="86"/>
      <c r="FO29" s="86"/>
      <c r="FP29" s="405">
        <f t="shared" si="0"/>
        <v>1184750</v>
      </c>
    </row>
    <row r="30" spans="1:172" ht="27" customHeight="1">
      <c r="A30" s="398" t="s">
        <v>512</v>
      </c>
      <c r="B30" s="399">
        <v>5000000</v>
      </c>
      <c r="C30" s="400" t="s">
        <v>89</v>
      </c>
      <c r="D30" s="401"/>
      <c r="E30" s="402"/>
      <c r="F30" s="402"/>
      <c r="G30" s="402"/>
      <c r="H30" s="402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  <c r="AO30" s="403"/>
      <c r="AP30" s="403"/>
      <c r="AQ30" s="412"/>
      <c r="AR30" s="403"/>
      <c r="AS30" s="403"/>
      <c r="AT30" s="403"/>
      <c r="AU30" s="403"/>
      <c r="AV30" s="403"/>
      <c r="AW30" s="403"/>
      <c r="AX30" s="403"/>
      <c r="AY30" s="403"/>
      <c r="AZ30" s="403"/>
      <c r="BA30" s="403"/>
      <c r="BB30" s="403"/>
      <c r="BC30" s="403"/>
      <c r="BD30" s="403"/>
      <c r="BE30" s="403"/>
      <c r="BF30" s="403"/>
      <c r="BG30" s="403"/>
      <c r="BH30" s="403"/>
      <c r="BI30" s="403"/>
      <c r="BJ30" s="403"/>
      <c r="BK30" s="403"/>
      <c r="BL30" s="403"/>
      <c r="BM30" s="403"/>
      <c r="BN30" s="403"/>
      <c r="BO30" s="403"/>
      <c r="BP30" s="403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03"/>
      <c r="CB30" s="403"/>
      <c r="CC30" s="403"/>
      <c r="CD30" s="403"/>
      <c r="CE30" s="403"/>
      <c r="CF30" s="403"/>
      <c r="CG30" s="403"/>
      <c r="CH30" s="403"/>
      <c r="CI30" s="403"/>
      <c r="CJ30" s="403"/>
      <c r="CK30" s="403"/>
      <c r="CL30" s="403"/>
      <c r="CM30" s="403"/>
      <c r="CN30" s="403"/>
      <c r="CO30" s="403"/>
      <c r="CP30" s="403"/>
      <c r="CQ30" s="403"/>
      <c r="CR30" s="403"/>
      <c r="CS30" s="403" t="s">
        <v>512</v>
      </c>
      <c r="CT30" s="403">
        <v>5000000</v>
      </c>
      <c r="CU30" s="404" t="s">
        <v>89</v>
      </c>
      <c r="CV30" s="405"/>
      <c r="CW30" s="405"/>
      <c r="CX30" s="405"/>
      <c r="CY30" s="405"/>
      <c r="CZ30" s="405"/>
      <c r="DA30" s="405"/>
      <c r="DB30" s="405"/>
      <c r="DC30" s="405"/>
      <c r="DD30" s="405"/>
      <c r="DE30" s="86"/>
      <c r="DF30" s="86"/>
      <c r="DG30" s="86"/>
      <c r="DH30" s="86"/>
      <c r="DI30" s="86"/>
      <c r="DJ30" s="86"/>
      <c r="DK30" s="86"/>
      <c r="DL30" s="86"/>
      <c r="DM30" s="86"/>
      <c r="DN30" s="86"/>
      <c r="DO30" s="86"/>
      <c r="DP30" s="86"/>
      <c r="DQ30" s="86"/>
      <c r="DR30" s="86"/>
      <c r="DS30" s="86"/>
      <c r="DT30" s="86"/>
      <c r="DU30" s="86"/>
      <c r="DV30" s="86"/>
      <c r="DW30" s="86"/>
      <c r="DX30" s="86"/>
      <c r="DY30" s="86"/>
      <c r="DZ30" s="86"/>
      <c r="EA30" s="86"/>
      <c r="EB30" s="86"/>
      <c r="EC30" s="86"/>
      <c r="ED30" s="86"/>
      <c r="EE30" s="86"/>
      <c r="EF30" s="86"/>
      <c r="EG30" s="86"/>
      <c r="EH30" s="86"/>
      <c r="EI30" s="86"/>
      <c r="EJ30" s="86"/>
      <c r="EK30" s="86"/>
      <c r="EL30" s="86"/>
      <c r="EM30" s="86"/>
      <c r="EN30" s="86"/>
      <c r="EO30" s="8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  <c r="FJ30" s="86"/>
      <c r="FK30" s="86"/>
      <c r="FL30" s="86"/>
      <c r="FM30" s="86"/>
      <c r="FN30" s="86"/>
      <c r="FO30" s="86"/>
      <c r="FP30" s="405">
        <f t="shared" si="0"/>
        <v>5000000</v>
      </c>
    </row>
    <row r="31" spans="1:172" ht="27" customHeight="1">
      <c r="A31" s="398" t="s">
        <v>513</v>
      </c>
      <c r="B31" s="399">
        <v>3000000</v>
      </c>
      <c r="C31" s="400" t="s">
        <v>89</v>
      </c>
      <c r="D31" s="401"/>
      <c r="E31" s="402"/>
      <c r="F31" s="402"/>
      <c r="G31" s="402"/>
      <c r="H31" s="402"/>
      <c r="I31" s="403"/>
      <c r="J31" s="403"/>
      <c r="K31" s="403"/>
      <c r="L31" s="403"/>
      <c r="M31" s="403"/>
      <c r="N31" s="403"/>
      <c r="O31" s="403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3"/>
      <c r="AA31" s="403"/>
      <c r="AB31" s="403"/>
      <c r="AC31" s="403"/>
      <c r="AD31" s="403"/>
      <c r="AE31" s="403"/>
      <c r="AF31" s="403"/>
      <c r="AG31" s="403"/>
      <c r="AH31" s="403"/>
      <c r="AI31" s="403"/>
      <c r="AJ31" s="403"/>
      <c r="AK31" s="403"/>
      <c r="AL31" s="403"/>
      <c r="AM31" s="403"/>
      <c r="AN31" s="403"/>
      <c r="AO31" s="403"/>
      <c r="AP31" s="403"/>
      <c r="AQ31" s="412"/>
      <c r="AR31" s="403"/>
      <c r="AS31" s="403"/>
      <c r="AT31" s="403"/>
      <c r="AU31" s="403"/>
      <c r="AV31" s="403"/>
      <c r="AW31" s="403"/>
      <c r="AX31" s="403"/>
      <c r="AY31" s="403"/>
      <c r="AZ31" s="403"/>
      <c r="BA31" s="403"/>
      <c r="BB31" s="403"/>
      <c r="BC31" s="403"/>
      <c r="BD31" s="403"/>
      <c r="BE31" s="403"/>
      <c r="BF31" s="403"/>
      <c r="BG31" s="403"/>
      <c r="BH31" s="403"/>
      <c r="BI31" s="403"/>
      <c r="BJ31" s="403"/>
      <c r="BK31" s="403"/>
      <c r="BL31" s="403"/>
      <c r="BM31" s="403"/>
      <c r="BN31" s="403"/>
      <c r="BO31" s="403"/>
      <c r="BP31" s="403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03"/>
      <c r="CB31" s="403"/>
      <c r="CC31" s="403"/>
      <c r="CD31" s="403"/>
      <c r="CE31" s="403"/>
      <c r="CF31" s="403"/>
      <c r="CG31" s="403"/>
      <c r="CH31" s="403"/>
      <c r="CI31" s="403"/>
      <c r="CJ31" s="403"/>
      <c r="CK31" s="403"/>
      <c r="CL31" s="403"/>
      <c r="CM31" s="403"/>
      <c r="CN31" s="403"/>
      <c r="CO31" s="403"/>
      <c r="CP31" s="403"/>
      <c r="CQ31" s="403"/>
      <c r="CR31" s="403"/>
      <c r="CS31" s="403" t="s">
        <v>513</v>
      </c>
      <c r="CT31" s="403">
        <v>3000000</v>
      </c>
      <c r="CU31" s="404" t="s">
        <v>89</v>
      </c>
      <c r="CV31" s="405"/>
      <c r="CW31" s="405"/>
      <c r="CX31" s="405"/>
      <c r="CY31" s="405"/>
      <c r="CZ31" s="405"/>
      <c r="DA31" s="405"/>
      <c r="DB31" s="405"/>
      <c r="DC31" s="405"/>
      <c r="DD31" s="405"/>
      <c r="DE31" s="86"/>
      <c r="DF31" s="86"/>
      <c r="DG31" s="86"/>
      <c r="DH31" s="86"/>
      <c r="DI31" s="86"/>
      <c r="DJ31" s="86"/>
      <c r="DK31" s="86"/>
      <c r="DL31" s="86"/>
      <c r="DM31" s="86"/>
      <c r="DN31" s="86"/>
      <c r="DO31" s="86"/>
      <c r="DP31" s="86"/>
      <c r="DQ31" s="86"/>
      <c r="DR31" s="86"/>
      <c r="DS31" s="86"/>
      <c r="DT31" s="86"/>
      <c r="DU31" s="86"/>
      <c r="DV31" s="86"/>
      <c r="DW31" s="86"/>
      <c r="DX31" s="86"/>
      <c r="DY31" s="86"/>
      <c r="DZ31" s="86"/>
      <c r="EA31" s="86"/>
      <c r="EB31" s="86"/>
      <c r="EC31" s="86"/>
      <c r="ED31" s="86"/>
      <c r="EE31" s="86"/>
      <c r="EF31" s="86"/>
      <c r="EG31" s="86"/>
      <c r="EH31" s="86"/>
      <c r="EI31" s="86"/>
      <c r="EJ31" s="86"/>
      <c r="EK31" s="86"/>
      <c r="EL31" s="86"/>
      <c r="EM31" s="86"/>
      <c r="EN31" s="86"/>
      <c r="EO31" s="8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  <c r="FJ31" s="86"/>
      <c r="FK31" s="86"/>
      <c r="FL31" s="86"/>
      <c r="FM31" s="86"/>
      <c r="FN31" s="86"/>
      <c r="FO31" s="86"/>
      <c r="FP31" s="405">
        <f t="shared" si="0"/>
        <v>3000000</v>
      </c>
    </row>
    <row r="32" spans="1:172" ht="27" customHeight="1">
      <c r="A32" s="398" t="s">
        <v>514</v>
      </c>
      <c r="B32" s="399">
        <v>30000</v>
      </c>
      <c r="C32" s="400" t="s">
        <v>89</v>
      </c>
      <c r="D32" s="401"/>
      <c r="E32" s="402"/>
      <c r="F32" s="402"/>
      <c r="G32" s="402"/>
      <c r="H32" s="402"/>
      <c r="I32" s="403"/>
      <c r="J32" s="403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3"/>
      <c r="AA32" s="403"/>
      <c r="AB32" s="403"/>
      <c r="AC32" s="403"/>
      <c r="AD32" s="403"/>
      <c r="AE32" s="403"/>
      <c r="AF32" s="403"/>
      <c r="AG32" s="403"/>
      <c r="AH32" s="403"/>
      <c r="AI32" s="403"/>
      <c r="AJ32" s="403"/>
      <c r="AK32" s="403"/>
      <c r="AL32" s="403"/>
      <c r="AM32" s="403"/>
      <c r="AN32" s="403"/>
      <c r="AO32" s="403"/>
      <c r="AP32" s="403"/>
      <c r="AQ32" s="412"/>
      <c r="AR32" s="403"/>
      <c r="AS32" s="403"/>
      <c r="AT32" s="403"/>
      <c r="AU32" s="403"/>
      <c r="AV32" s="403"/>
      <c r="AW32" s="403"/>
      <c r="AX32" s="403"/>
      <c r="AY32" s="403"/>
      <c r="AZ32" s="403"/>
      <c r="BA32" s="403"/>
      <c r="BB32" s="403"/>
      <c r="BC32" s="403"/>
      <c r="BD32" s="403"/>
      <c r="BE32" s="403"/>
      <c r="BF32" s="403"/>
      <c r="BG32" s="403"/>
      <c r="BH32" s="403"/>
      <c r="BI32" s="403"/>
      <c r="BJ32" s="403"/>
      <c r="BK32" s="403"/>
      <c r="BL32" s="403"/>
      <c r="BM32" s="403"/>
      <c r="BN32" s="403"/>
      <c r="BO32" s="403"/>
      <c r="BP32" s="403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03"/>
      <c r="CB32" s="403"/>
      <c r="CC32" s="403"/>
      <c r="CD32" s="403"/>
      <c r="CE32" s="403"/>
      <c r="CF32" s="403"/>
      <c r="CG32" s="403"/>
      <c r="CH32" s="403"/>
      <c r="CI32" s="403"/>
      <c r="CJ32" s="403"/>
      <c r="CK32" s="403"/>
      <c r="CL32" s="403"/>
      <c r="CM32" s="403"/>
      <c r="CN32" s="403"/>
      <c r="CO32" s="403"/>
      <c r="CP32" s="403"/>
      <c r="CQ32" s="403"/>
      <c r="CR32" s="403"/>
      <c r="CS32" s="403" t="s">
        <v>514</v>
      </c>
      <c r="CT32" s="403">
        <v>30000</v>
      </c>
      <c r="CU32" s="404" t="s">
        <v>89</v>
      </c>
      <c r="CV32" s="405"/>
      <c r="CW32" s="405"/>
      <c r="CX32" s="405"/>
      <c r="CY32" s="405"/>
      <c r="CZ32" s="405"/>
      <c r="DA32" s="405"/>
      <c r="DB32" s="405"/>
      <c r="DC32" s="405"/>
      <c r="DD32" s="405">
        <v>30000</v>
      </c>
      <c r="DE32" s="86"/>
      <c r="DF32" s="86"/>
      <c r="DG32" s="86"/>
      <c r="DH32" s="86"/>
      <c r="DI32" s="86"/>
      <c r="DJ32" s="86"/>
      <c r="DK32" s="86"/>
      <c r="DL32" s="86"/>
      <c r="DM32" s="86"/>
      <c r="DN32" s="86"/>
      <c r="DO32" s="86"/>
      <c r="DP32" s="86"/>
      <c r="DQ32" s="86"/>
      <c r="DR32" s="86"/>
      <c r="DS32" s="86"/>
      <c r="DT32" s="86"/>
      <c r="DU32" s="86"/>
      <c r="DV32" s="86"/>
      <c r="DW32" s="86"/>
      <c r="DX32" s="86"/>
      <c r="DY32" s="86"/>
      <c r="DZ32" s="86"/>
      <c r="EA32" s="86"/>
      <c r="EB32" s="86"/>
      <c r="EC32" s="86"/>
      <c r="ED32" s="86"/>
      <c r="EE32" s="86"/>
      <c r="EF32" s="86"/>
      <c r="EG32" s="86"/>
      <c r="EH32" s="86"/>
      <c r="EI32" s="86"/>
      <c r="EJ32" s="86"/>
      <c r="EK32" s="86"/>
      <c r="EL32" s="86"/>
      <c r="EM32" s="86"/>
      <c r="EN32" s="86"/>
      <c r="EO32" s="8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  <c r="FJ32" s="86"/>
      <c r="FK32" s="86"/>
      <c r="FL32" s="86"/>
      <c r="FM32" s="86"/>
      <c r="FN32" s="86"/>
      <c r="FO32" s="86"/>
      <c r="FP32" s="405">
        <f t="shared" si="0"/>
        <v>60000</v>
      </c>
    </row>
    <row r="33" spans="1:172" ht="27" customHeight="1">
      <c r="A33" s="398" t="s">
        <v>515</v>
      </c>
      <c r="B33" s="399">
        <v>88000</v>
      </c>
      <c r="C33" s="400" t="s">
        <v>89</v>
      </c>
      <c r="D33" s="401"/>
      <c r="E33" s="402"/>
      <c r="F33" s="402"/>
      <c r="G33" s="402"/>
      <c r="H33" s="402"/>
      <c r="I33" s="403"/>
      <c r="J33" s="403"/>
      <c r="K33" s="403"/>
      <c r="L33" s="403"/>
      <c r="M33" s="403"/>
      <c r="N33" s="403"/>
      <c r="O33" s="403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3"/>
      <c r="AA33" s="403"/>
      <c r="AB33" s="403"/>
      <c r="AC33" s="403"/>
      <c r="AD33" s="403"/>
      <c r="AE33" s="403"/>
      <c r="AF33" s="403"/>
      <c r="AG33" s="403"/>
      <c r="AH33" s="403"/>
      <c r="AI33" s="403"/>
      <c r="AJ33" s="403"/>
      <c r="AK33" s="403"/>
      <c r="AL33" s="403"/>
      <c r="AM33" s="403"/>
      <c r="AN33" s="403"/>
      <c r="AO33" s="403"/>
      <c r="AP33" s="403"/>
      <c r="AQ33" s="412"/>
      <c r="AR33" s="403"/>
      <c r="AS33" s="403"/>
      <c r="AT33" s="403"/>
      <c r="AU33" s="403"/>
      <c r="AV33" s="403"/>
      <c r="AW33" s="403"/>
      <c r="AX33" s="403"/>
      <c r="AY33" s="403"/>
      <c r="AZ33" s="403"/>
      <c r="BA33" s="403"/>
      <c r="BB33" s="403"/>
      <c r="BC33" s="403"/>
      <c r="BD33" s="403"/>
      <c r="BE33" s="403"/>
      <c r="BF33" s="403"/>
      <c r="BG33" s="403"/>
      <c r="BH33" s="403"/>
      <c r="BI33" s="403"/>
      <c r="BJ33" s="403"/>
      <c r="BK33" s="403"/>
      <c r="BL33" s="403"/>
      <c r="BM33" s="403"/>
      <c r="BN33" s="403"/>
      <c r="BO33" s="403"/>
      <c r="BP33" s="403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03"/>
      <c r="CB33" s="403"/>
      <c r="CC33" s="403"/>
      <c r="CD33" s="403"/>
      <c r="CE33" s="403"/>
      <c r="CF33" s="403"/>
      <c r="CG33" s="403"/>
      <c r="CH33" s="403"/>
      <c r="CI33" s="403"/>
      <c r="CJ33" s="403"/>
      <c r="CK33" s="403"/>
      <c r="CL33" s="403"/>
      <c r="CM33" s="403"/>
      <c r="CN33" s="403"/>
      <c r="CO33" s="403"/>
      <c r="CP33" s="403"/>
      <c r="CQ33" s="403"/>
      <c r="CR33" s="403"/>
      <c r="CS33" s="403" t="s">
        <v>515</v>
      </c>
      <c r="CT33" s="403">
        <v>88000</v>
      </c>
      <c r="CU33" s="404" t="s">
        <v>89</v>
      </c>
      <c r="CV33" s="405"/>
      <c r="CW33" s="405"/>
      <c r="CX33" s="405"/>
      <c r="CY33" s="405"/>
      <c r="CZ33" s="405"/>
      <c r="DA33" s="405"/>
      <c r="DB33" s="405"/>
      <c r="DC33" s="405"/>
      <c r="DD33" s="405">
        <v>88000</v>
      </c>
      <c r="DE33" s="86"/>
      <c r="DF33" s="86"/>
      <c r="DG33" s="86"/>
      <c r="DH33" s="86"/>
      <c r="DI33" s="86"/>
      <c r="DJ33" s="86"/>
      <c r="DK33" s="86"/>
      <c r="DL33" s="86"/>
      <c r="DM33" s="86"/>
      <c r="DN33" s="86"/>
      <c r="DO33" s="86"/>
      <c r="DP33" s="86"/>
      <c r="DQ33" s="86"/>
      <c r="DR33" s="86"/>
      <c r="DS33" s="86"/>
      <c r="DT33" s="86"/>
      <c r="DU33" s="86"/>
      <c r="DV33" s="86"/>
      <c r="DW33" s="86"/>
      <c r="DX33" s="86"/>
      <c r="DY33" s="86"/>
      <c r="DZ33" s="86"/>
      <c r="EA33" s="86"/>
      <c r="EB33" s="86"/>
      <c r="EC33" s="86"/>
      <c r="ED33" s="86"/>
      <c r="EE33" s="86"/>
      <c r="EF33" s="86"/>
      <c r="EG33" s="86"/>
      <c r="EH33" s="86"/>
      <c r="EI33" s="86"/>
      <c r="EJ33" s="86"/>
      <c r="EK33" s="86"/>
      <c r="EL33" s="86"/>
      <c r="EM33" s="86"/>
      <c r="EN33" s="86"/>
      <c r="EO33" s="8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  <c r="FJ33" s="86"/>
      <c r="FK33" s="86"/>
      <c r="FL33" s="86"/>
      <c r="FM33" s="86"/>
      <c r="FN33" s="86"/>
      <c r="FO33" s="86"/>
      <c r="FP33" s="405">
        <f t="shared" si="0"/>
        <v>176000</v>
      </c>
    </row>
    <row r="34" spans="1:172" ht="27" customHeight="1">
      <c r="A34" s="398" t="s">
        <v>516</v>
      </c>
      <c r="B34" s="399">
        <v>70000</v>
      </c>
      <c r="C34" s="400" t="s">
        <v>89</v>
      </c>
      <c r="D34" s="401"/>
      <c r="E34" s="402"/>
      <c r="F34" s="402"/>
      <c r="G34" s="402"/>
      <c r="H34" s="402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403"/>
      <c r="AM34" s="403"/>
      <c r="AN34" s="403"/>
      <c r="AO34" s="403"/>
      <c r="AP34" s="403"/>
      <c r="AQ34" s="412"/>
      <c r="AR34" s="403"/>
      <c r="AS34" s="403"/>
      <c r="AT34" s="403"/>
      <c r="AU34" s="403"/>
      <c r="AV34" s="403"/>
      <c r="AW34" s="403"/>
      <c r="AX34" s="403"/>
      <c r="AY34" s="403"/>
      <c r="AZ34" s="403"/>
      <c r="BA34" s="403"/>
      <c r="BB34" s="403"/>
      <c r="BC34" s="403"/>
      <c r="BD34" s="403"/>
      <c r="BE34" s="403"/>
      <c r="BF34" s="403"/>
      <c r="BG34" s="403"/>
      <c r="BH34" s="403"/>
      <c r="BI34" s="403"/>
      <c r="BJ34" s="403"/>
      <c r="BK34" s="403"/>
      <c r="BL34" s="403"/>
      <c r="BM34" s="403"/>
      <c r="BN34" s="403"/>
      <c r="BO34" s="403"/>
      <c r="BP34" s="403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03"/>
      <c r="CB34" s="403"/>
      <c r="CC34" s="403"/>
      <c r="CD34" s="403"/>
      <c r="CE34" s="403"/>
      <c r="CF34" s="403"/>
      <c r="CG34" s="403"/>
      <c r="CH34" s="403"/>
      <c r="CI34" s="403"/>
      <c r="CJ34" s="403"/>
      <c r="CK34" s="403"/>
      <c r="CL34" s="403"/>
      <c r="CM34" s="403"/>
      <c r="CN34" s="403"/>
      <c r="CO34" s="403"/>
      <c r="CP34" s="403"/>
      <c r="CQ34" s="403"/>
      <c r="CR34" s="403"/>
      <c r="CS34" s="403" t="s">
        <v>516</v>
      </c>
      <c r="CT34" s="403">
        <v>70000</v>
      </c>
      <c r="CU34" s="404" t="s">
        <v>89</v>
      </c>
      <c r="CV34" s="405"/>
      <c r="CW34" s="405"/>
      <c r="CX34" s="405"/>
      <c r="CY34" s="405"/>
      <c r="CZ34" s="405"/>
      <c r="DA34" s="405"/>
      <c r="DB34" s="405"/>
      <c r="DC34" s="405"/>
      <c r="DD34" s="405">
        <v>70000</v>
      </c>
      <c r="DE34" s="86"/>
      <c r="DF34" s="86"/>
      <c r="DG34" s="86"/>
      <c r="DH34" s="86"/>
      <c r="DI34" s="86"/>
      <c r="DJ34" s="86"/>
      <c r="DK34" s="86"/>
      <c r="DL34" s="86"/>
      <c r="DM34" s="86"/>
      <c r="DN34" s="86"/>
      <c r="DO34" s="86"/>
      <c r="DP34" s="86"/>
      <c r="DQ34" s="86"/>
      <c r="DR34" s="86"/>
      <c r="DS34" s="86"/>
      <c r="DT34" s="86"/>
      <c r="DU34" s="86"/>
      <c r="DV34" s="86"/>
      <c r="DW34" s="86"/>
      <c r="DX34" s="86"/>
      <c r="DY34" s="86"/>
      <c r="DZ34" s="86"/>
      <c r="EA34" s="86"/>
      <c r="EB34" s="86"/>
      <c r="EC34" s="86"/>
      <c r="ED34" s="86"/>
      <c r="EE34" s="86"/>
      <c r="EF34" s="86"/>
      <c r="EG34" s="86"/>
      <c r="EH34" s="86"/>
      <c r="EI34" s="86"/>
      <c r="EJ34" s="86"/>
      <c r="EK34" s="86"/>
      <c r="EL34" s="86"/>
      <c r="EM34" s="86"/>
      <c r="EN34" s="86"/>
      <c r="EO34" s="8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  <c r="FJ34" s="86"/>
      <c r="FK34" s="86"/>
      <c r="FL34" s="86"/>
      <c r="FM34" s="86"/>
      <c r="FN34" s="86"/>
      <c r="FO34" s="86"/>
      <c r="FP34" s="405">
        <f t="shared" si="0"/>
        <v>140000</v>
      </c>
    </row>
    <row r="35" spans="1:172" ht="27" customHeight="1">
      <c r="A35" s="398" t="s">
        <v>517</v>
      </c>
      <c r="B35" s="399">
        <v>35000</v>
      </c>
      <c r="C35" s="400" t="s">
        <v>89</v>
      </c>
      <c r="D35" s="401"/>
      <c r="E35" s="402"/>
      <c r="F35" s="402"/>
      <c r="G35" s="402"/>
      <c r="H35" s="402"/>
      <c r="I35" s="403"/>
      <c r="J35" s="403"/>
      <c r="K35" s="403"/>
      <c r="L35" s="403"/>
      <c r="M35" s="403"/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3"/>
      <c r="AA35" s="403"/>
      <c r="AB35" s="403"/>
      <c r="AC35" s="403"/>
      <c r="AD35" s="403"/>
      <c r="AE35" s="403"/>
      <c r="AF35" s="403"/>
      <c r="AG35" s="403"/>
      <c r="AH35" s="403"/>
      <c r="AI35" s="403"/>
      <c r="AJ35" s="403"/>
      <c r="AK35" s="403"/>
      <c r="AL35" s="403"/>
      <c r="AM35" s="403"/>
      <c r="AN35" s="403"/>
      <c r="AO35" s="403"/>
      <c r="AP35" s="403"/>
      <c r="AQ35" s="412"/>
      <c r="AR35" s="403"/>
      <c r="AS35" s="403"/>
      <c r="AT35" s="403"/>
      <c r="AU35" s="403"/>
      <c r="AV35" s="403"/>
      <c r="AW35" s="403"/>
      <c r="AX35" s="403"/>
      <c r="AY35" s="403"/>
      <c r="AZ35" s="403"/>
      <c r="BA35" s="403"/>
      <c r="BB35" s="403"/>
      <c r="BC35" s="403"/>
      <c r="BD35" s="403"/>
      <c r="BE35" s="403"/>
      <c r="BF35" s="403"/>
      <c r="BG35" s="403"/>
      <c r="BH35" s="403"/>
      <c r="BI35" s="403"/>
      <c r="BJ35" s="403"/>
      <c r="BK35" s="403"/>
      <c r="BL35" s="403"/>
      <c r="BM35" s="403"/>
      <c r="BN35" s="403"/>
      <c r="BO35" s="403"/>
      <c r="BP35" s="403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03"/>
      <c r="CB35" s="403"/>
      <c r="CC35" s="403"/>
      <c r="CD35" s="403"/>
      <c r="CE35" s="403"/>
      <c r="CF35" s="403"/>
      <c r="CG35" s="403"/>
      <c r="CH35" s="403"/>
      <c r="CI35" s="403"/>
      <c r="CJ35" s="403"/>
      <c r="CK35" s="403"/>
      <c r="CL35" s="403"/>
      <c r="CM35" s="403"/>
      <c r="CN35" s="403"/>
      <c r="CO35" s="403"/>
      <c r="CP35" s="403"/>
      <c r="CQ35" s="403"/>
      <c r="CR35" s="403"/>
      <c r="CS35" s="403" t="s">
        <v>517</v>
      </c>
      <c r="CT35" s="403">
        <v>35000</v>
      </c>
      <c r="CU35" s="404" t="s">
        <v>89</v>
      </c>
      <c r="CV35" s="405"/>
      <c r="CW35" s="405"/>
      <c r="CX35" s="405"/>
      <c r="CY35" s="405"/>
      <c r="CZ35" s="405"/>
      <c r="DA35" s="405"/>
      <c r="DB35" s="405"/>
      <c r="DC35" s="405"/>
      <c r="DD35" s="405">
        <v>35000</v>
      </c>
      <c r="DE35" s="86"/>
      <c r="DF35" s="86"/>
      <c r="DG35" s="86"/>
      <c r="DH35" s="86"/>
      <c r="DI35" s="86"/>
      <c r="DJ35" s="86"/>
      <c r="DK35" s="86"/>
      <c r="DL35" s="86"/>
      <c r="DM35" s="86"/>
      <c r="DN35" s="86"/>
      <c r="DO35" s="86"/>
      <c r="DP35" s="86"/>
      <c r="DQ35" s="86"/>
      <c r="DR35" s="86"/>
      <c r="DS35" s="86"/>
      <c r="DT35" s="86"/>
      <c r="DU35" s="86"/>
      <c r="DV35" s="86"/>
      <c r="DW35" s="86"/>
      <c r="DX35" s="86"/>
      <c r="DY35" s="86"/>
      <c r="DZ35" s="86"/>
      <c r="EA35" s="86"/>
      <c r="EB35" s="86"/>
      <c r="EC35" s="86"/>
      <c r="ED35" s="86"/>
      <c r="EE35" s="86"/>
      <c r="EF35" s="86"/>
      <c r="EG35" s="86"/>
      <c r="EH35" s="86"/>
      <c r="EI35" s="86"/>
      <c r="EJ35" s="86"/>
      <c r="EK35" s="86"/>
      <c r="EL35" s="86"/>
      <c r="EM35" s="86"/>
      <c r="EN35" s="86"/>
      <c r="EO35" s="8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  <c r="FJ35" s="86"/>
      <c r="FK35" s="86"/>
      <c r="FL35" s="86"/>
      <c r="FM35" s="86"/>
      <c r="FN35" s="86"/>
      <c r="FO35" s="86"/>
      <c r="FP35" s="405">
        <f t="shared" si="0"/>
        <v>70000</v>
      </c>
    </row>
    <row r="36" spans="1:172" ht="27" customHeight="1">
      <c r="A36" s="398" t="s">
        <v>518</v>
      </c>
      <c r="B36" s="399">
        <v>40000</v>
      </c>
      <c r="C36" s="400" t="s">
        <v>89</v>
      </c>
      <c r="D36" s="401"/>
      <c r="E36" s="402"/>
      <c r="F36" s="402"/>
      <c r="G36" s="402"/>
      <c r="H36" s="402"/>
      <c r="I36" s="403"/>
      <c r="J36" s="403"/>
      <c r="K36" s="403"/>
      <c r="L36" s="403"/>
      <c r="M36" s="403"/>
      <c r="N36" s="403"/>
      <c r="O36" s="403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3"/>
      <c r="AA36" s="403"/>
      <c r="AB36" s="403"/>
      <c r="AC36" s="403"/>
      <c r="AD36" s="403"/>
      <c r="AE36" s="403"/>
      <c r="AF36" s="403"/>
      <c r="AG36" s="403"/>
      <c r="AH36" s="403"/>
      <c r="AI36" s="403"/>
      <c r="AJ36" s="403"/>
      <c r="AK36" s="403"/>
      <c r="AL36" s="403"/>
      <c r="AM36" s="403"/>
      <c r="AN36" s="403"/>
      <c r="AO36" s="403"/>
      <c r="AP36" s="403"/>
      <c r="AQ36" s="412"/>
      <c r="AR36" s="403"/>
      <c r="AS36" s="403"/>
      <c r="AT36" s="403"/>
      <c r="AU36" s="403"/>
      <c r="AV36" s="403"/>
      <c r="AW36" s="403"/>
      <c r="AX36" s="403"/>
      <c r="AY36" s="403"/>
      <c r="AZ36" s="403"/>
      <c r="BA36" s="403"/>
      <c r="BB36" s="403"/>
      <c r="BC36" s="403"/>
      <c r="BD36" s="403"/>
      <c r="BE36" s="403"/>
      <c r="BF36" s="403"/>
      <c r="BG36" s="403"/>
      <c r="BH36" s="403"/>
      <c r="BI36" s="403"/>
      <c r="BJ36" s="403"/>
      <c r="BK36" s="403"/>
      <c r="BL36" s="403"/>
      <c r="BM36" s="403"/>
      <c r="BN36" s="403"/>
      <c r="BO36" s="403"/>
      <c r="BP36" s="403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03"/>
      <c r="CB36" s="403"/>
      <c r="CC36" s="403"/>
      <c r="CD36" s="403"/>
      <c r="CE36" s="403"/>
      <c r="CF36" s="403"/>
      <c r="CG36" s="403"/>
      <c r="CH36" s="403"/>
      <c r="CI36" s="403"/>
      <c r="CJ36" s="403"/>
      <c r="CK36" s="403"/>
      <c r="CL36" s="403"/>
      <c r="CM36" s="403"/>
      <c r="CN36" s="403"/>
      <c r="CO36" s="403"/>
      <c r="CP36" s="403"/>
      <c r="CQ36" s="403"/>
      <c r="CR36" s="403"/>
      <c r="CS36" s="403" t="s">
        <v>518</v>
      </c>
      <c r="CT36" s="403">
        <v>40000</v>
      </c>
      <c r="CU36" s="404" t="s">
        <v>89</v>
      </c>
      <c r="CV36" s="405"/>
      <c r="CW36" s="405"/>
      <c r="CX36" s="405"/>
      <c r="CY36" s="405"/>
      <c r="CZ36" s="405"/>
      <c r="DA36" s="405"/>
      <c r="DB36" s="405"/>
      <c r="DC36" s="405"/>
      <c r="DD36" s="405">
        <v>40000</v>
      </c>
      <c r="DE36" s="86"/>
      <c r="DF36" s="86"/>
      <c r="DG36" s="86"/>
      <c r="DH36" s="86"/>
      <c r="DI36" s="86"/>
      <c r="DJ36" s="86"/>
      <c r="DK36" s="86"/>
      <c r="DL36" s="86"/>
      <c r="DM36" s="86"/>
      <c r="DN36" s="86"/>
      <c r="DO36" s="86"/>
      <c r="DP36" s="86"/>
      <c r="DQ36" s="86"/>
      <c r="DR36" s="86"/>
      <c r="DS36" s="86"/>
      <c r="DT36" s="86"/>
      <c r="DU36" s="86"/>
      <c r="DV36" s="86"/>
      <c r="DW36" s="86"/>
      <c r="DX36" s="86"/>
      <c r="DY36" s="86"/>
      <c r="DZ36" s="86"/>
      <c r="EA36" s="86"/>
      <c r="EB36" s="86"/>
      <c r="EC36" s="86"/>
      <c r="ED36" s="86"/>
      <c r="EE36" s="86"/>
      <c r="EF36" s="86"/>
      <c r="EG36" s="86"/>
      <c r="EH36" s="86"/>
      <c r="EI36" s="86"/>
      <c r="EJ36" s="86"/>
      <c r="EK36" s="86"/>
      <c r="EL36" s="86"/>
      <c r="EM36" s="86"/>
      <c r="EN36" s="86"/>
      <c r="EO36" s="8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  <c r="FJ36" s="86"/>
      <c r="FK36" s="86"/>
      <c r="FL36" s="86"/>
      <c r="FM36" s="86"/>
      <c r="FN36" s="86"/>
      <c r="FO36" s="86"/>
      <c r="FP36" s="405">
        <f t="shared" si="0"/>
        <v>80000</v>
      </c>
    </row>
    <row r="37" spans="1:172" ht="27" customHeight="1">
      <c r="A37" s="398" t="s">
        <v>519</v>
      </c>
      <c r="B37" s="399">
        <v>95000</v>
      </c>
      <c r="C37" s="400" t="s">
        <v>89</v>
      </c>
      <c r="D37" s="401"/>
      <c r="E37" s="402"/>
      <c r="F37" s="402"/>
      <c r="G37" s="402"/>
      <c r="H37" s="402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403"/>
      <c r="V37" s="403"/>
      <c r="W37" s="403"/>
      <c r="X37" s="403"/>
      <c r="Y37" s="403"/>
      <c r="Z37" s="403"/>
      <c r="AA37" s="403"/>
      <c r="AB37" s="403"/>
      <c r="AC37" s="403"/>
      <c r="AD37" s="403"/>
      <c r="AE37" s="403"/>
      <c r="AF37" s="403"/>
      <c r="AG37" s="403"/>
      <c r="AH37" s="403"/>
      <c r="AI37" s="403"/>
      <c r="AJ37" s="403"/>
      <c r="AK37" s="403"/>
      <c r="AL37" s="403"/>
      <c r="AM37" s="403"/>
      <c r="AN37" s="403"/>
      <c r="AO37" s="403"/>
      <c r="AP37" s="403"/>
      <c r="AQ37" s="412"/>
      <c r="AR37" s="403"/>
      <c r="AS37" s="403"/>
      <c r="AT37" s="403"/>
      <c r="AU37" s="403"/>
      <c r="AV37" s="403"/>
      <c r="AW37" s="403"/>
      <c r="AX37" s="403"/>
      <c r="AY37" s="403"/>
      <c r="AZ37" s="403"/>
      <c r="BA37" s="403"/>
      <c r="BB37" s="403"/>
      <c r="BC37" s="403"/>
      <c r="BD37" s="403"/>
      <c r="BE37" s="403"/>
      <c r="BF37" s="403"/>
      <c r="BG37" s="403"/>
      <c r="BH37" s="403"/>
      <c r="BI37" s="403"/>
      <c r="BJ37" s="403"/>
      <c r="BK37" s="403"/>
      <c r="BL37" s="403"/>
      <c r="BM37" s="403"/>
      <c r="BN37" s="403"/>
      <c r="BO37" s="403"/>
      <c r="BP37" s="403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03"/>
      <c r="CB37" s="403"/>
      <c r="CC37" s="403"/>
      <c r="CD37" s="403"/>
      <c r="CE37" s="403"/>
      <c r="CF37" s="403"/>
      <c r="CG37" s="403"/>
      <c r="CH37" s="403"/>
      <c r="CI37" s="403"/>
      <c r="CJ37" s="403"/>
      <c r="CK37" s="403"/>
      <c r="CL37" s="403"/>
      <c r="CM37" s="403"/>
      <c r="CN37" s="403"/>
      <c r="CO37" s="403"/>
      <c r="CP37" s="403"/>
      <c r="CQ37" s="403"/>
      <c r="CR37" s="403"/>
      <c r="CS37" s="403" t="s">
        <v>519</v>
      </c>
      <c r="CT37" s="403">
        <v>95000</v>
      </c>
      <c r="CU37" s="404" t="s">
        <v>89</v>
      </c>
      <c r="CV37" s="405"/>
      <c r="CW37" s="405"/>
      <c r="CX37" s="405"/>
      <c r="CY37" s="405"/>
      <c r="CZ37" s="405"/>
      <c r="DA37" s="405"/>
      <c r="DB37" s="405"/>
      <c r="DC37" s="405"/>
      <c r="DD37" s="405"/>
      <c r="DE37" s="86"/>
      <c r="DF37" s="86"/>
      <c r="DG37" s="86"/>
      <c r="DH37" s="86"/>
      <c r="DI37" s="86"/>
      <c r="DJ37" s="86"/>
      <c r="DK37" s="86"/>
      <c r="DL37" s="86"/>
      <c r="DM37" s="86"/>
      <c r="DN37" s="86"/>
      <c r="DO37" s="86"/>
      <c r="DP37" s="86"/>
      <c r="DQ37" s="86"/>
      <c r="DR37" s="86"/>
      <c r="DS37" s="86"/>
      <c r="DT37" s="86"/>
      <c r="DU37" s="86"/>
      <c r="DV37" s="86"/>
      <c r="DW37" s="86"/>
      <c r="DX37" s="86"/>
      <c r="DY37" s="86"/>
      <c r="DZ37" s="86"/>
      <c r="EA37" s="86"/>
      <c r="EB37" s="86"/>
      <c r="EC37" s="86"/>
      <c r="ED37" s="86"/>
      <c r="EE37" s="86"/>
      <c r="EF37" s="86"/>
      <c r="EG37" s="86"/>
      <c r="EH37" s="86"/>
      <c r="EI37" s="86"/>
      <c r="EJ37" s="86"/>
      <c r="EK37" s="86"/>
      <c r="EL37" s="86"/>
      <c r="EM37" s="86"/>
      <c r="EN37" s="86"/>
      <c r="EO37" s="8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  <c r="FJ37" s="86"/>
      <c r="FK37" s="86"/>
      <c r="FL37" s="86"/>
      <c r="FM37" s="86"/>
      <c r="FN37" s="86"/>
      <c r="FO37" s="86"/>
      <c r="FP37" s="405">
        <f t="shared" si="0"/>
        <v>95000</v>
      </c>
    </row>
    <row r="38" spans="1:172" ht="27" customHeight="1">
      <c r="A38" s="398" t="s">
        <v>520</v>
      </c>
      <c r="B38" s="399">
        <v>64000</v>
      </c>
      <c r="C38" s="400" t="s">
        <v>89</v>
      </c>
      <c r="D38" s="401"/>
      <c r="E38" s="402"/>
      <c r="F38" s="402"/>
      <c r="G38" s="402"/>
      <c r="H38" s="402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3"/>
      <c r="AO38" s="403"/>
      <c r="AP38" s="403"/>
      <c r="AQ38" s="412"/>
      <c r="AR38" s="403"/>
      <c r="AS38" s="403"/>
      <c r="AT38" s="403"/>
      <c r="AU38" s="403"/>
      <c r="AV38" s="403"/>
      <c r="AW38" s="403"/>
      <c r="AX38" s="403"/>
      <c r="AY38" s="403"/>
      <c r="AZ38" s="403"/>
      <c r="BA38" s="403"/>
      <c r="BB38" s="403"/>
      <c r="BC38" s="403"/>
      <c r="BD38" s="403"/>
      <c r="BE38" s="403"/>
      <c r="BF38" s="403"/>
      <c r="BG38" s="403"/>
      <c r="BH38" s="403"/>
      <c r="BI38" s="403"/>
      <c r="BJ38" s="403"/>
      <c r="BK38" s="403"/>
      <c r="BL38" s="403"/>
      <c r="BM38" s="403"/>
      <c r="BN38" s="403"/>
      <c r="BO38" s="403"/>
      <c r="BP38" s="403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03"/>
      <c r="CB38" s="403"/>
      <c r="CC38" s="403"/>
      <c r="CD38" s="403"/>
      <c r="CE38" s="403"/>
      <c r="CF38" s="403"/>
      <c r="CG38" s="403"/>
      <c r="CH38" s="403"/>
      <c r="CI38" s="403"/>
      <c r="CJ38" s="403"/>
      <c r="CK38" s="403"/>
      <c r="CL38" s="403"/>
      <c r="CM38" s="403"/>
      <c r="CN38" s="403"/>
      <c r="CO38" s="403"/>
      <c r="CP38" s="403"/>
      <c r="CQ38" s="403"/>
      <c r="CR38" s="403"/>
      <c r="CS38" s="403" t="s">
        <v>520</v>
      </c>
      <c r="CT38" s="403">
        <v>64000</v>
      </c>
      <c r="CU38" s="404" t="s">
        <v>89</v>
      </c>
      <c r="CV38" s="405"/>
      <c r="CW38" s="405"/>
      <c r="CX38" s="405"/>
      <c r="CY38" s="405"/>
      <c r="CZ38" s="405"/>
      <c r="DA38" s="405"/>
      <c r="DB38" s="405"/>
      <c r="DC38" s="405"/>
      <c r="DD38" s="405"/>
      <c r="DE38" s="86"/>
      <c r="DF38" s="86"/>
      <c r="DG38" s="86"/>
      <c r="DH38" s="86"/>
      <c r="DI38" s="86"/>
      <c r="DJ38" s="86"/>
      <c r="DK38" s="86"/>
      <c r="DL38" s="86"/>
      <c r="DM38" s="86"/>
      <c r="DN38" s="86"/>
      <c r="DO38" s="86"/>
      <c r="DP38" s="86"/>
      <c r="DQ38" s="86"/>
      <c r="DR38" s="86"/>
      <c r="DS38" s="86"/>
      <c r="DT38" s="86"/>
      <c r="DU38" s="86"/>
      <c r="DV38" s="86"/>
      <c r="DW38" s="86"/>
      <c r="DX38" s="86"/>
      <c r="DY38" s="86"/>
      <c r="DZ38" s="86"/>
      <c r="EA38" s="86"/>
      <c r="EB38" s="86"/>
      <c r="EC38" s="86"/>
      <c r="ED38" s="86"/>
      <c r="EE38" s="86"/>
      <c r="EF38" s="86"/>
      <c r="EG38" s="86"/>
      <c r="EH38" s="86"/>
      <c r="EI38" s="86"/>
      <c r="EJ38" s="86"/>
      <c r="EK38" s="86"/>
      <c r="EL38" s="86"/>
      <c r="EM38" s="86"/>
      <c r="EN38" s="86"/>
      <c r="EO38" s="8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  <c r="FJ38" s="86"/>
      <c r="FK38" s="86"/>
      <c r="FL38" s="86"/>
      <c r="FM38" s="86"/>
      <c r="FN38" s="86"/>
      <c r="FO38" s="86"/>
      <c r="FP38" s="405">
        <f t="shared" si="0"/>
        <v>64000</v>
      </c>
    </row>
    <row r="39" spans="1:172" ht="27" customHeight="1">
      <c r="A39" s="398" t="s">
        <v>521</v>
      </c>
      <c r="B39" s="399">
        <v>99000</v>
      </c>
      <c r="C39" s="400" t="s">
        <v>89</v>
      </c>
      <c r="D39" s="401"/>
      <c r="E39" s="402"/>
      <c r="F39" s="402"/>
      <c r="G39" s="402"/>
      <c r="H39" s="402"/>
      <c r="I39" s="403"/>
      <c r="J39" s="403"/>
      <c r="K39" s="403"/>
      <c r="L39" s="403"/>
      <c r="M39" s="403"/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3"/>
      <c r="Z39" s="403"/>
      <c r="AA39" s="403"/>
      <c r="AB39" s="403"/>
      <c r="AC39" s="403"/>
      <c r="AD39" s="403"/>
      <c r="AE39" s="403"/>
      <c r="AF39" s="403"/>
      <c r="AG39" s="403"/>
      <c r="AH39" s="403"/>
      <c r="AI39" s="403"/>
      <c r="AJ39" s="403"/>
      <c r="AK39" s="403"/>
      <c r="AL39" s="403"/>
      <c r="AM39" s="403"/>
      <c r="AN39" s="403"/>
      <c r="AO39" s="403"/>
      <c r="AP39" s="403"/>
      <c r="AQ39" s="412"/>
      <c r="AR39" s="403"/>
      <c r="AS39" s="403"/>
      <c r="AT39" s="403"/>
      <c r="AU39" s="403"/>
      <c r="AV39" s="403"/>
      <c r="AW39" s="403"/>
      <c r="AX39" s="403"/>
      <c r="AY39" s="403"/>
      <c r="AZ39" s="403"/>
      <c r="BA39" s="403"/>
      <c r="BB39" s="403"/>
      <c r="BC39" s="403"/>
      <c r="BD39" s="403"/>
      <c r="BE39" s="403"/>
      <c r="BF39" s="403"/>
      <c r="BG39" s="403"/>
      <c r="BH39" s="403"/>
      <c r="BI39" s="403"/>
      <c r="BJ39" s="403"/>
      <c r="BK39" s="403"/>
      <c r="BL39" s="403"/>
      <c r="BM39" s="403"/>
      <c r="BN39" s="403"/>
      <c r="BO39" s="403"/>
      <c r="BP39" s="403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03"/>
      <c r="CB39" s="403"/>
      <c r="CC39" s="403"/>
      <c r="CD39" s="403"/>
      <c r="CE39" s="403"/>
      <c r="CF39" s="403"/>
      <c r="CG39" s="403"/>
      <c r="CH39" s="403"/>
      <c r="CI39" s="403"/>
      <c r="CJ39" s="403"/>
      <c r="CK39" s="403"/>
      <c r="CL39" s="403"/>
      <c r="CM39" s="403"/>
      <c r="CN39" s="403"/>
      <c r="CO39" s="403"/>
      <c r="CP39" s="403"/>
      <c r="CQ39" s="403"/>
      <c r="CR39" s="403"/>
      <c r="CS39" s="403" t="s">
        <v>521</v>
      </c>
      <c r="CT39" s="403">
        <v>99000</v>
      </c>
      <c r="CU39" s="404" t="s">
        <v>89</v>
      </c>
      <c r="CV39" s="405"/>
      <c r="CW39" s="405"/>
      <c r="CX39" s="405"/>
      <c r="CY39" s="405"/>
      <c r="CZ39" s="405"/>
      <c r="DA39" s="405"/>
      <c r="DB39" s="405"/>
      <c r="DC39" s="405"/>
      <c r="DD39" s="405">
        <v>20000</v>
      </c>
      <c r="DE39" s="86"/>
      <c r="DF39" s="86"/>
      <c r="DG39" s="86"/>
      <c r="DH39" s="86"/>
      <c r="DI39" s="86"/>
      <c r="DJ39" s="86"/>
      <c r="DK39" s="86"/>
      <c r="DL39" s="86"/>
      <c r="DM39" s="86"/>
      <c r="DN39" s="86"/>
      <c r="DO39" s="86"/>
      <c r="DP39" s="86"/>
      <c r="DQ39" s="86"/>
      <c r="DR39" s="86"/>
      <c r="DS39" s="86"/>
      <c r="DT39" s="86"/>
      <c r="DU39" s="86"/>
      <c r="DV39" s="86"/>
      <c r="DW39" s="86"/>
      <c r="DX39" s="86"/>
      <c r="DY39" s="86"/>
      <c r="DZ39" s="86"/>
      <c r="EA39" s="86"/>
      <c r="EB39" s="86"/>
      <c r="EC39" s="86"/>
      <c r="ED39" s="86"/>
      <c r="EE39" s="86"/>
      <c r="EF39" s="86"/>
      <c r="EG39" s="86"/>
      <c r="EH39" s="86"/>
      <c r="EI39" s="86"/>
      <c r="EJ39" s="86"/>
      <c r="EK39" s="86"/>
      <c r="EL39" s="86"/>
      <c r="EM39" s="86"/>
      <c r="EN39" s="86"/>
      <c r="EO39" s="8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  <c r="FJ39" s="86"/>
      <c r="FK39" s="86"/>
      <c r="FL39" s="86"/>
      <c r="FM39" s="86"/>
      <c r="FN39" s="86"/>
      <c r="FO39" s="86"/>
      <c r="FP39" s="405">
        <f t="shared" si="0"/>
        <v>119000</v>
      </c>
    </row>
    <row r="40" spans="1:172" ht="27" customHeight="1">
      <c r="A40" s="398" t="s">
        <v>522</v>
      </c>
      <c r="B40" s="399">
        <v>25000</v>
      </c>
      <c r="C40" s="400" t="s">
        <v>89</v>
      </c>
      <c r="D40" s="401"/>
      <c r="E40" s="402"/>
      <c r="F40" s="402"/>
      <c r="G40" s="402"/>
      <c r="H40" s="402"/>
      <c r="I40" s="403"/>
      <c r="J40" s="403"/>
      <c r="K40" s="403"/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3"/>
      <c r="AA40" s="403"/>
      <c r="AB40" s="403"/>
      <c r="AC40" s="403"/>
      <c r="AD40" s="403"/>
      <c r="AE40" s="403"/>
      <c r="AF40" s="403"/>
      <c r="AG40" s="403"/>
      <c r="AH40" s="403"/>
      <c r="AI40" s="403"/>
      <c r="AJ40" s="403"/>
      <c r="AK40" s="403"/>
      <c r="AL40" s="403"/>
      <c r="AM40" s="403"/>
      <c r="AN40" s="403"/>
      <c r="AO40" s="403"/>
      <c r="AP40" s="403"/>
      <c r="AQ40" s="412"/>
      <c r="AR40" s="403"/>
      <c r="AS40" s="403"/>
      <c r="AT40" s="403"/>
      <c r="AU40" s="403"/>
      <c r="AV40" s="403"/>
      <c r="AW40" s="403"/>
      <c r="AX40" s="403"/>
      <c r="AY40" s="403"/>
      <c r="AZ40" s="403"/>
      <c r="BA40" s="403"/>
      <c r="BB40" s="403"/>
      <c r="BC40" s="403"/>
      <c r="BD40" s="403"/>
      <c r="BE40" s="403"/>
      <c r="BF40" s="403"/>
      <c r="BG40" s="403"/>
      <c r="BH40" s="403"/>
      <c r="BI40" s="403"/>
      <c r="BJ40" s="403"/>
      <c r="BK40" s="403"/>
      <c r="BL40" s="403"/>
      <c r="BM40" s="403"/>
      <c r="BN40" s="403"/>
      <c r="BO40" s="403"/>
      <c r="BP40" s="403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03"/>
      <c r="CB40" s="403"/>
      <c r="CC40" s="403"/>
      <c r="CD40" s="403"/>
      <c r="CE40" s="403"/>
      <c r="CF40" s="403"/>
      <c r="CG40" s="403"/>
      <c r="CH40" s="403"/>
      <c r="CI40" s="403"/>
      <c r="CJ40" s="403"/>
      <c r="CK40" s="403"/>
      <c r="CL40" s="403"/>
      <c r="CM40" s="403"/>
      <c r="CN40" s="403"/>
      <c r="CO40" s="403"/>
      <c r="CP40" s="403"/>
      <c r="CQ40" s="403"/>
      <c r="CR40" s="403"/>
      <c r="CS40" s="403" t="s">
        <v>522</v>
      </c>
      <c r="CT40" s="403">
        <v>25000</v>
      </c>
      <c r="CU40" s="404" t="s">
        <v>89</v>
      </c>
      <c r="CV40" s="405"/>
      <c r="CW40" s="405"/>
      <c r="CX40" s="405"/>
      <c r="CY40" s="405"/>
      <c r="CZ40" s="405"/>
      <c r="DA40" s="405"/>
      <c r="DB40" s="405"/>
      <c r="DC40" s="405"/>
      <c r="DD40" s="405">
        <v>25000</v>
      </c>
      <c r="DE40" s="86"/>
      <c r="DF40" s="86"/>
      <c r="DG40" s="86"/>
      <c r="DH40" s="86"/>
      <c r="DI40" s="86"/>
      <c r="DJ40" s="86"/>
      <c r="DK40" s="86"/>
      <c r="DL40" s="86"/>
      <c r="DM40" s="86"/>
      <c r="DN40" s="86"/>
      <c r="DO40" s="86"/>
      <c r="DP40" s="86"/>
      <c r="DQ40" s="86"/>
      <c r="DR40" s="86"/>
      <c r="DS40" s="86"/>
      <c r="DT40" s="86"/>
      <c r="DU40" s="86"/>
      <c r="DV40" s="86"/>
      <c r="DW40" s="86"/>
      <c r="DX40" s="86"/>
      <c r="DY40" s="86"/>
      <c r="DZ40" s="86"/>
      <c r="EA40" s="86"/>
      <c r="EB40" s="86"/>
      <c r="EC40" s="86"/>
      <c r="ED40" s="86"/>
      <c r="EE40" s="86"/>
      <c r="EF40" s="86"/>
      <c r="EG40" s="86"/>
      <c r="EH40" s="86"/>
      <c r="EI40" s="86"/>
      <c r="EJ40" s="86"/>
      <c r="EK40" s="86"/>
      <c r="EL40" s="86"/>
      <c r="EM40" s="86"/>
      <c r="EN40" s="86"/>
      <c r="EO40" s="8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  <c r="FJ40" s="86"/>
      <c r="FK40" s="86"/>
      <c r="FL40" s="86"/>
      <c r="FM40" s="86"/>
      <c r="FN40" s="86"/>
      <c r="FO40" s="86"/>
      <c r="FP40" s="405">
        <f t="shared" si="0"/>
        <v>50000</v>
      </c>
    </row>
    <row r="41" spans="1:172" ht="27" customHeight="1">
      <c r="A41" s="398" t="s">
        <v>523</v>
      </c>
      <c r="B41" s="399">
        <v>1600000</v>
      </c>
      <c r="C41" s="400" t="s">
        <v>89</v>
      </c>
      <c r="D41" s="401"/>
      <c r="E41" s="402"/>
      <c r="F41" s="402"/>
      <c r="G41" s="402"/>
      <c r="H41" s="402"/>
      <c r="I41" s="403"/>
      <c r="J41" s="403"/>
      <c r="K41" s="403"/>
      <c r="L41" s="403"/>
      <c r="M41" s="403"/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3"/>
      <c r="AA41" s="403"/>
      <c r="AB41" s="403"/>
      <c r="AC41" s="403"/>
      <c r="AD41" s="403"/>
      <c r="AE41" s="403"/>
      <c r="AF41" s="403"/>
      <c r="AG41" s="403"/>
      <c r="AH41" s="403"/>
      <c r="AI41" s="403"/>
      <c r="AJ41" s="403"/>
      <c r="AK41" s="403"/>
      <c r="AL41" s="403"/>
      <c r="AM41" s="403"/>
      <c r="AN41" s="403"/>
      <c r="AO41" s="403"/>
      <c r="AP41" s="403"/>
      <c r="AQ41" s="412"/>
      <c r="AR41" s="403"/>
      <c r="AS41" s="403"/>
      <c r="AT41" s="403"/>
      <c r="AU41" s="403"/>
      <c r="AV41" s="403"/>
      <c r="AW41" s="403"/>
      <c r="AX41" s="403"/>
      <c r="AY41" s="403"/>
      <c r="AZ41" s="403"/>
      <c r="BA41" s="403"/>
      <c r="BB41" s="403"/>
      <c r="BC41" s="403"/>
      <c r="BD41" s="403"/>
      <c r="BE41" s="403"/>
      <c r="BF41" s="403"/>
      <c r="BG41" s="403"/>
      <c r="BH41" s="403"/>
      <c r="BI41" s="403"/>
      <c r="BJ41" s="403"/>
      <c r="BK41" s="403"/>
      <c r="BL41" s="403"/>
      <c r="BM41" s="403"/>
      <c r="BN41" s="403"/>
      <c r="BO41" s="403"/>
      <c r="BP41" s="403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03"/>
      <c r="CB41" s="403"/>
      <c r="CC41" s="403"/>
      <c r="CD41" s="403"/>
      <c r="CE41" s="403"/>
      <c r="CF41" s="403"/>
      <c r="CG41" s="403"/>
      <c r="CH41" s="403"/>
      <c r="CI41" s="403"/>
      <c r="CJ41" s="403"/>
      <c r="CK41" s="403"/>
      <c r="CL41" s="403"/>
      <c r="CM41" s="403"/>
      <c r="CN41" s="403"/>
      <c r="CO41" s="403"/>
      <c r="CP41" s="403"/>
      <c r="CQ41" s="403"/>
      <c r="CR41" s="403"/>
      <c r="CS41" s="403" t="s">
        <v>523</v>
      </c>
      <c r="CT41" s="403">
        <v>1600000</v>
      </c>
      <c r="CU41" s="404" t="s">
        <v>89</v>
      </c>
      <c r="CV41" s="405"/>
      <c r="CW41" s="405"/>
      <c r="CX41" s="405"/>
      <c r="CY41" s="405"/>
      <c r="CZ41" s="405"/>
      <c r="DA41" s="405"/>
      <c r="DB41" s="405"/>
      <c r="DC41" s="405"/>
      <c r="DD41" s="405"/>
      <c r="DE41" s="86"/>
      <c r="DF41" s="86"/>
      <c r="DG41" s="86"/>
      <c r="DH41" s="86"/>
      <c r="DI41" s="86"/>
      <c r="DJ41" s="86"/>
      <c r="DK41" s="86"/>
      <c r="DL41" s="86"/>
      <c r="DM41" s="86"/>
      <c r="DN41" s="86"/>
      <c r="DO41" s="86"/>
      <c r="DP41" s="86"/>
      <c r="DQ41" s="86"/>
      <c r="DR41" s="86"/>
      <c r="DS41" s="86"/>
      <c r="DT41" s="86"/>
      <c r="DU41" s="86"/>
      <c r="DV41" s="86"/>
      <c r="DW41" s="86"/>
      <c r="DX41" s="86"/>
      <c r="DY41" s="86"/>
      <c r="DZ41" s="86"/>
      <c r="EA41" s="86"/>
      <c r="EB41" s="86"/>
      <c r="EC41" s="86"/>
      <c r="ED41" s="86"/>
      <c r="EE41" s="86"/>
      <c r="EF41" s="86"/>
      <c r="EG41" s="86"/>
      <c r="EH41" s="86"/>
      <c r="EI41" s="86"/>
      <c r="EJ41" s="86"/>
      <c r="EK41" s="86"/>
      <c r="EL41" s="86"/>
      <c r="EM41" s="86"/>
      <c r="EN41" s="86"/>
      <c r="EO41" s="8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  <c r="FJ41" s="86"/>
      <c r="FK41" s="86"/>
      <c r="FL41" s="86"/>
      <c r="FM41" s="86"/>
      <c r="FN41" s="86"/>
      <c r="FO41" s="86"/>
      <c r="FP41" s="405">
        <f t="shared" si="0"/>
        <v>1600000</v>
      </c>
    </row>
    <row r="42" spans="1:172" ht="27" customHeight="1">
      <c r="A42" s="398" t="s">
        <v>524</v>
      </c>
      <c r="B42" s="399">
        <v>130000</v>
      </c>
      <c r="C42" s="400" t="s">
        <v>89</v>
      </c>
      <c r="D42" s="401"/>
      <c r="E42" s="402"/>
      <c r="F42" s="402"/>
      <c r="G42" s="402"/>
      <c r="H42" s="402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3"/>
      <c r="AE42" s="403"/>
      <c r="AF42" s="403"/>
      <c r="AG42" s="403"/>
      <c r="AH42" s="403"/>
      <c r="AI42" s="403"/>
      <c r="AJ42" s="403"/>
      <c r="AK42" s="403"/>
      <c r="AL42" s="403"/>
      <c r="AM42" s="403"/>
      <c r="AN42" s="403"/>
      <c r="AO42" s="403"/>
      <c r="AP42" s="403"/>
      <c r="AQ42" s="412"/>
      <c r="AR42" s="403"/>
      <c r="AS42" s="403"/>
      <c r="AT42" s="403"/>
      <c r="AU42" s="403"/>
      <c r="AV42" s="403"/>
      <c r="AW42" s="403"/>
      <c r="AX42" s="403"/>
      <c r="AY42" s="403"/>
      <c r="AZ42" s="403"/>
      <c r="BA42" s="403"/>
      <c r="BB42" s="403"/>
      <c r="BC42" s="403"/>
      <c r="BD42" s="403"/>
      <c r="BE42" s="403"/>
      <c r="BF42" s="403"/>
      <c r="BG42" s="403"/>
      <c r="BH42" s="403"/>
      <c r="BI42" s="403"/>
      <c r="BJ42" s="403"/>
      <c r="BK42" s="403"/>
      <c r="BL42" s="403"/>
      <c r="BM42" s="403"/>
      <c r="BN42" s="403"/>
      <c r="BO42" s="403"/>
      <c r="BP42" s="403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03"/>
      <c r="CB42" s="403"/>
      <c r="CC42" s="403"/>
      <c r="CD42" s="403"/>
      <c r="CE42" s="403"/>
      <c r="CF42" s="403"/>
      <c r="CG42" s="403"/>
      <c r="CH42" s="403"/>
      <c r="CI42" s="403"/>
      <c r="CJ42" s="403"/>
      <c r="CK42" s="403"/>
      <c r="CL42" s="403"/>
      <c r="CM42" s="403"/>
      <c r="CN42" s="403"/>
      <c r="CO42" s="403"/>
      <c r="CP42" s="403"/>
      <c r="CQ42" s="403"/>
      <c r="CR42" s="403"/>
      <c r="CS42" s="403" t="s">
        <v>524</v>
      </c>
      <c r="CT42" s="403">
        <v>130000</v>
      </c>
      <c r="CU42" s="404" t="s">
        <v>89</v>
      </c>
      <c r="CV42" s="405"/>
      <c r="CW42" s="405"/>
      <c r="CX42" s="405"/>
      <c r="CY42" s="405"/>
      <c r="CZ42" s="405"/>
      <c r="DA42" s="405"/>
      <c r="DB42" s="405"/>
      <c r="DC42" s="405"/>
      <c r="DD42" s="405"/>
      <c r="DE42" s="86"/>
      <c r="DF42" s="86"/>
      <c r="DG42" s="86"/>
      <c r="DH42" s="86"/>
      <c r="DI42" s="86"/>
      <c r="DJ42" s="86"/>
      <c r="DK42" s="86"/>
      <c r="DL42" s="86"/>
      <c r="DM42" s="86"/>
      <c r="DN42" s="86"/>
      <c r="DO42" s="86"/>
      <c r="DP42" s="86"/>
      <c r="DQ42" s="86"/>
      <c r="DR42" s="86"/>
      <c r="DS42" s="86"/>
      <c r="DT42" s="86"/>
      <c r="DU42" s="86"/>
      <c r="DV42" s="86"/>
      <c r="DW42" s="86"/>
      <c r="DX42" s="86"/>
      <c r="DY42" s="86"/>
      <c r="DZ42" s="86"/>
      <c r="EA42" s="86"/>
      <c r="EB42" s="86"/>
      <c r="EC42" s="86"/>
      <c r="ED42" s="86"/>
      <c r="EE42" s="86"/>
      <c r="EF42" s="86"/>
      <c r="EG42" s="86"/>
      <c r="EH42" s="86"/>
      <c r="EI42" s="86"/>
      <c r="EJ42" s="86"/>
      <c r="EK42" s="86"/>
      <c r="EL42" s="86"/>
      <c r="EM42" s="86"/>
      <c r="EN42" s="86"/>
      <c r="EO42" s="8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  <c r="FJ42" s="86"/>
      <c r="FK42" s="86"/>
      <c r="FL42" s="86"/>
      <c r="FM42" s="86"/>
      <c r="FN42" s="86"/>
      <c r="FO42" s="86"/>
      <c r="FP42" s="405">
        <f t="shared" si="0"/>
        <v>130000</v>
      </c>
    </row>
    <row r="43" spans="1:172" ht="27" customHeight="1">
      <c r="A43" s="398" t="s">
        <v>525</v>
      </c>
      <c r="B43" s="399">
        <v>3000000</v>
      </c>
      <c r="C43" s="400" t="s">
        <v>89</v>
      </c>
      <c r="D43" s="401"/>
      <c r="E43" s="402"/>
      <c r="F43" s="402"/>
      <c r="G43" s="402"/>
      <c r="H43" s="402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  <c r="AA43" s="403"/>
      <c r="AB43" s="403"/>
      <c r="AC43" s="403"/>
      <c r="AD43" s="403"/>
      <c r="AE43" s="403"/>
      <c r="AF43" s="403"/>
      <c r="AG43" s="403"/>
      <c r="AH43" s="403"/>
      <c r="AI43" s="403"/>
      <c r="AJ43" s="403"/>
      <c r="AK43" s="403"/>
      <c r="AL43" s="403"/>
      <c r="AM43" s="403"/>
      <c r="AN43" s="403"/>
      <c r="AO43" s="403"/>
      <c r="AP43" s="403"/>
      <c r="AQ43" s="412"/>
      <c r="AR43" s="403"/>
      <c r="AS43" s="403"/>
      <c r="AT43" s="403"/>
      <c r="AU43" s="403"/>
      <c r="AV43" s="403"/>
      <c r="AW43" s="403"/>
      <c r="AX43" s="403"/>
      <c r="AY43" s="403"/>
      <c r="AZ43" s="403"/>
      <c r="BA43" s="403"/>
      <c r="BB43" s="403"/>
      <c r="BC43" s="403"/>
      <c r="BD43" s="403"/>
      <c r="BE43" s="403"/>
      <c r="BF43" s="403"/>
      <c r="BG43" s="403"/>
      <c r="BH43" s="403"/>
      <c r="BI43" s="403"/>
      <c r="BJ43" s="403"/>
      <c r="BK43" s="403"/>
      <c r="BL43" s="403"/>
      <c r="BM43" s="403"/>
      <c r="BN43" s="403"/>
      <c r="BO43" s="403"/>
      <c r="BP43" s="403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03"/>
      <c r="CB43" s="403"/>
      <c r="CC43" s="403"/>
      <c r="CD43" s="403"/>
      <c r="CE43" s="403"/>
      <c r="CF43" s="403"/>
      <c r="CG43" s="403"/>
      <c r="CH43" s="403"/>
      <c r="CI43" s="403"/>
      <c r="CJ43" s="403"/>
      <c r="CK43" s="403"/>
      <c r="CL43" s="403"/>
      <c r="CM43" s="403"/>
      <c r="CN43" s="403"/>
      <c r="CO43" s="403"/>
      <c r="CP43" s="403"/>
      <c r="CQ43" s="403"/>
      <c r="CR43" s="403"/>
      <c r="CS43" s="403" t="s">
        <v>525</v>
      </c>
      <c r="CT43" s="403">
        <v>3000000</v>
      </c>
      <c r="CU43" s="404" t="s">
        <v>89</v>
      </c>
      <c r="CV43" s="405"/>
      <c r="CW43" s="405"/>
      <c r="CX43" s="405"/>
      <c r="CY43" s="405"/>
      <c r="CZ43" s="405"/>
      <c r="DA43" s="405"/>
      <c r="DB43" s="405"/>
      <c r="DC43" s="405"/>
      <c r="DD43" s="405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405">
        <f t="shared" si="0"/>
        <v>3000000</v>
      </c>
    </row>
    <row r="44" spans="1:172" ht="27" customHeight="1">
      <c r="A44" s="398" t="s">
        <v>526</v>
      </c>
      <c r="B44" s="399">
        <v>120000</v>
      </c>
      <c r="C44" s="400" t="s">
        <v>89</v>
      </c>
      <c r="D44" s="401"/>
      <c r="E44" s="402"/>
      <c r="F44" s="402"/>
      <c r="G44" s="402"/>
      <c r="H44" s="402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  <c r="AD44" s="403"/>
      <c r="AE44" s="403"/>
      <c r="AF44" s="403"/>
      <c r="AG44" s="403"/>
      <c r="AH44" s="403"/>
      <c r="AI44" s="403"/>
      <c r="AJ44" s="403"/>
      <c r="AK44" s="403"/>
      <c r="AL44" s="403"/>
      <c r="AM44" s="403"/>
      <c r="AN44" s="403"/>
      <c r="AO44" s="403"/>
      <c r="AP44" s="403"/>
      <c r="AQ44" s="412"/>
      <c r="AR44" s="403"/>
      <c r="AS44" s="403"/>
      <c r="AT44" s="403"/>
      <c r="AU44" s="403"/>
      <c r="AV44" s="403"/>
      <c r="AW44" s="403"/>
      <c r="AX44" s="403"/>
      <c r="AY44" s="403"/>
      <c r="AZ44" s="403"/>
      <c r="BA44" s="403"/>
      <c r="BB44" s="403"/>
      <c r="BC44" s="403"/>
      <c r="BD44" s="403"/>
      <c r="BE44" s="403"/>
      <c r="BF44" s="403"/>
      <c r="BG44" s="403"/>
      <c r="BH44" s="403"/>
      <c r="BI44" s="403"/>
      <c r="BJ44" s="403"/>
      <c r="BK44" s="403"/>
      <c r="BL44" s="403"/>
      <c r="BM44" s="403"/>
      <c r="BN44" s="403"/>
      <c r="BO44" s="403"/>
      <c r="BP44" s="403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03"/>
      <c r="CB44" s="403"/>
      <c r="CC44" s="403"/>
      <c r="CD44" s="403"/>
      <c r="CE44" s="403"/>
      <c r="CF44" s="403"/>
      <c r="CG44" s="403"/>
      <c r="CH44" s="403"/>
      <c r="CI44" s="403"/>
      <c r="CJ44" s="403"/>
      <c r="CK44" s="403"/>
      <c r="CL44" s="403"/>
      <c r="CM44" s="403"/>
      <c r="CN44" s="403"/>
      <c r="CO44" s="403"/>
      <c r="CP44" s="403"/>
      <c r="CQ44" s="403"/>
      <c r="CR44" s="403"/>
      <c r="CS44" s="403" t="s">
        <v>526</v>
      </c>
      <c r="CT44" s="403">
        <v>120000</v>
      </c>
      <c r="CU44" s="404" t="s">
        <v>89</v>
      </c>
      <c r="CV44" s="405"/>
      <c r="CW44" s="405"/>
      <c r="CX44" s="405"/>
      <c r="CY44" s="405"/>
      <c r="CZ44" s="405"/>
      <c r="DA44" s="405"/>
      <c r="DB44" s="405"/>
      <c r="DC44" s="405"/>
      <c r="DD44" s="405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405">
        <f t="shared" si="0"/>
        <v>120000</v>
      </c>
    </row>
    <row r="45" spans="1:172" ht="27" customHeight="1">
      <c r="A45" s="398" t="s">
        <v>527</v>
      </c>
      <c r="B45" s="399">
        <v>3814000</v>
      </c>
      <c r="C45" s="400" t="s">
        <v>89</v>
      </c>
      <c r="D45" s="401"/>
      <c r="E45" s="402"/>
      <c r="F45" s="402"/>
      <c r="G45" s="402"/>
      <c r="H45" s="402"/>
      <c r="I45" s="403"/>
      <c r="J45" s="403"/>
      <c r="K45" s="403"/>
      <c r="L45" s="403"/>
      <c r="M45" s="403"/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03"/>
      <c r="AA45" s="403"/>
      <c r="AB45" s="403"/>
      <c r="AC45" s="403"/>
      <c r="AD45" s="403"/>
      <c r="AE45" s="403"/>
      <c r="AF45" s="403"/>
      <c r="AG45" s="403"/>
      <c r="AH45" s="403"/>
      <c r="AI45" s="403"/>
      <c r="AJ45" s="403"/>
      <c r="AK45" s="403"/>
      <c r="AL45" s="403"/>
      <c r="AM45" s="403"/>
      <c r="AN45" s="403"/>
      <c r="AO45" s="403"/>
      <c r="AP45" s="403"/>
      <c r="AQ45" s="412"/>
      <c r="AR45" s="403"/>
      <c r="AS45" s="403"/>
      <c r="AT45" s="403"/>
      <c r="AU45" s="403"/>
      <c r="AV45" s="403"/>
      <c r="AW45" s="403"/>
      <c r="AX45" s="403"/>
      <c r="AY45" s="403"/>
      <c r="AZ45" s="403"/>
      <c r="BA45" s="403"/>
      <c r="BB45" s="403"/>
      <c r="BC45" s="403"/>
      <c r="BD45" s="403"/>
      <c r="BE45" s="403"/>
      <c r="BF45" s="403"/>
      <c r="BG45" s="403"/>
      <c r="BH45" s="403"/>
      <c r="BI45" s="403"/>
      <c r="BJ45" s="403"/>
      <c r="BK45" s="403"/>
      <c r="BL45" s="403"/>
      <c r="BM45" s="403"/>
      <c r="BN45" s="403"/>
      <c r="BO45" s="403"/>
      <c r="BP45" s="403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03"/>
      <c r="CB45" s="403"/>
      <c r="CC45" s="403"/>
      <c r="CD45" s="403"/>
      <c r="CE45" s="403"/>
      <c r="CF45" s="403"/>
      <c r="CG45" s="403"/>
      <c r="CH45" s="403"/>
      <c r="CI45" s="403"/>
      <c r="CJ45" s="403"/>
      <c r="CK45" s="403"/>
      <c r="CL45" s="403"/>
      <c r="CM45" s="403"/>
      <c r="CN45" s="403"/>
      <c r="CO45" s="403"/>
      <c r="CP45" s="403"/>
      <c r="CQ45" s="403"/>
      <c r="CR45" s="403"/>
      <c r="CS45" s="403" t="s">
        <v>527</v>
      </c>
      <c r="CT45" s="403">
        <v>3814000</v>
      </c>
      <c r="CU45" s="404" t="s">
        <v>89</v>
      </c>
      <c r="CV45" s="405"/>
      <c r="CW45" s="405"/>
      <c r="CX45" s="405"/>
      <c r="CY45" s="405"/>
      <c r="CZ45" s="405"/>
      <c r="DA45" s="405"/>
      <c r="DB45" s="405"/>
      <c r="DC45" s="405"/>
      <c r="DD45" s="405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405">
        <f t="shared" si="0"/>
        <v>3814000</v>
      </c>
    </row>
    <row r="46" spans="1:172" ht="27" customHeight="1">
      <c r="A46" s="398" t="s">
        <v>528</v>
      </c>
      <c r="B46" s="399">
        <v>400000</v>
      </c>
      <c r="C46" s="400" t="s">
        <v>89</v>
      </c>
      <c r="D46" s="401"/>
      <c r="E46" s="402"/>
      <c r="F46" s="402"/>
      <c r="G46" s="402"/>
      <c r="H46" s="402"/>
      <c r="I46" s="403"/>
      <c r="J46" s="403"/>
      <c r="K46" s="403"/>
      <c r="L46" s="403"/>
      <c r="M46" s="403"/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403"/>
      <c r="Y46" s="403"/>
      <c r="Z46" s="403"/>
      <c r="AA46" s="403"/>
      <c r="AB46" s="403"/>
      <c r="AC46" s="403"/>
      <c r="AD46" s="403"/>
      <c r="AE46" s="403"/>
      <c r="AF46" s="403"/>
      <c r="AG46" s="403"/>
      <c r="AH46" s="403"/>
      <c r="AI46" s="403"/>
      <c r="AJ46" s="403"/>
      <c r="AK46" s="403"/>
      <c r="AL46" s="403"/>
      <c r="AM46" s="403"/>
      <c r="AN46" s="403"/>
      <c r="AO46" s="403"/>
      <c r="AP46" s="403"/>
      <c r="AQ46" s="412"/>
      <c r="AR46" s="403"/>
      <c r="AS46" s="403"/>
      <c r="AT46" s="403"/>
      <c r="AU46" s="403"/>
      <c r="AV46" s="403"/>
      <c r="AW46" s="403"/>
      <c r="AX46" s="403"/>
      <c r="AY46" s="403"/>
      <c r="AZ46" s="403"/>
      <c r="BA46" s="403"/>
      <c r="BB46" s="403"/>
      <c r="BC46" s="403"/>
      <c r="BD46" s="403"/>
      <c r="BE46" s="403"/>
      <c r="BF46" s="403"/>
      <c r="BG46" s="403"/>
      <c r="BH46" s="403"/>
      <c r="BI46" s="403"/>
      <c r="BJ46" s="403"/>
      <c r="BK46" s="403"/>
      <c r="BL46" s="403"/>
      <c r="BM46" s="403"/>
      <c r="BN46" s="403"/>
      <c r="BO46" s="403"/>
      <c r="BP46" s="403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03"/>
      <c r="CB46" s="403"/>
      <c r="CC46" s="403"/>
      <c r="CD46" s="403"/>
      <c r="CE46" s="403"/>
      <c r="CF46" s="403"/>
      <c r="CG46" s="403"/>
      <c r="CH46" s="403"/>
      <c r="CI46" s="403"/>
      <c r="CJ46" s="403"/>
      <c r="CK46" s="403"/>
      <c r="CL46" s="403"/>
      <c r="CM46" s="403"/>
      <c r="CN46" s="403"/>
      <c r="CO46" s="403"/>
      <c r="CP46" s="403"/>
      <c r="CQ46" s="403"/>
      <c r="CR46" s="403"/>
      <c r="CS46" s="403" t="s">
        <v>528</v>
      </c>
      <c r="CT46" s="403">
        <v>400000</v>
      </c>
      <c r="CU46" s="404" t="s">
        <v>89</v>
      </c>
      <c r="CV46" s="405"/>
      <c r="CW46" s="405"/>
      <c r="CX46" s="405"/>
      <c r="CY46" s="405"/>
      <c r="CZ46" s="405"/>
      <c r="DA46" s="405"/>
      <c r="DB46" s="405"/>
      <c r="DC46" s="405"/>
      <c r="DD46" s="405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405">
        <f t="shared" si="0"/>
        <v>400000</v>
      </c>
    </row>
    <row r="47" spans="1:172" ht="27" customHeight="1">
      <c r="A47" s="398" t="s">
        <v>529</v>
      </c>
      <c r="B47" s="399">
        <v>5000000</v>
      </c>
      <c r="C47" s="400" t="s">
        <v>89</v>
      </c>
      <c r="D47" s="401"/>
      <c r="E47" s="402"/>
      <c r="F47" s="402"/>
      <c r="G47" s="402"/>
      <c r="H47" s="402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  <c r="AA47" s="403"/>
      <c r="AB47" s="403"/>
      <c r="AC47" s="403"/>
      <c r="AD47" s="403"/>
      <c r="AE47" s="403"/>
      <c r="AF47" s="403"/>
      <c r="AG47" s="403"/>
      <c r="AH47" s="403"/>
      <c r="AI47" s="403"/>
      <c r="AJ47" s="403"/>
      <c r="AK47" s="403"/>
      <c r="AL47" s="403"/>
      <c r="AM47" s="403"/>
      <c r="AN47" s="403"/>
      <c r="AO47" s="403"/>
      <c r="AP47" s="403"/>
      <c r="AQ47" s="412"/>
      <c r="AR47" s="403"/>
      <c r="AS47" s="403"/>
      <c r="AT47" s="403"/>
      <c r="AU47" s="403"/>
      <c r="AV47" s="403"/>
      <c r="AW47" s="403"/>
      <c r="AX47" s="403"/>
      <c r="AY47" s="403"/>
      <c r="AZ47" s="403"/>
      <c r="BA47" s="403"/>
      <c r="BB47" s="403"/>
      <c r="BC47" s="403"/>
      <c r="BD47" s="403"/>
      <c r="BE47" s="403"/>
      <c r="BF47" s="403"/>
      <c r="BG47" s="403"/>
      <c r="BH47" s="403"/>
      <c r="BI47" s="403"/>
      <c r="BJ47" s="403"/>
      <c r="BK47" s="403"/>
      <c r="BL47" s="403"/>
      <c r="BM47" s="403"/>
      <c r="BN47" s="403"/>
      <c r="BO47" s="403"/>
      <c r="BP47" s="403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03"/>
      <c r="CB47" s="403"/>
      <c r="CC47" s="403"/>
      <c r="CD47" s="403"/>
      <c r="CE47" s="403"/>
      <c r="CF47" s="403"/>
      <c r="CG47" s="403"/>
      <c r="CH47" s="403"/>
      <c r="CI47" s="403"/>
      <c r="CJ47" s="403"/>
      <c r="CK47" s="403"/>
      <c r="CL47" s="403"/>
      <c r="CM47" s="403"/>
      <c r="CN47" s="403"/>
      <c r="CO47" s="403"/>
      <c r="CP47" s="403"/>
      <c r="CQ47" s="403"/>
      <c r="CR47" s="403"/>
      <c r="CS47" s="403" t="s">
        <v>529</v>
      </c>
      <c r="CT47" s="403">
        <v>5000000</v>
      </c>
      <c r="CU47" s="404" t="s">
        <v>89</v>
      </c>
      <c r="CV47" s="405"/>
      <c r="CW47" s="405"/>
      <c r="CX47" s="405"/>
      <c r="CY47" s="405"/>
      <c r="CZ47" s="405"/>
      <c r="DA47" s="405"/>
      <c r="DB47" s="405"/>
      <c r="DC47" s="405"/>
      <c r="DD47" s="405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405">
        <f t="shared" si="0"/>
        <v>5000000</v>
      </c>
    </row>
    <row r="48" spans="1:172" ht="27" customHeight="1">
      <c r="A48" s="364" t="s">
        <v>530</v>
      </c>
      <c r="B48" s="460">
        <v>2000000</v>
      </c>
      <c r="C48" s="464" t="s">
        <v>531</v>
      </c>
      <c r="D48" s="26" t="s">
        <v>531</v>
      </c>
      <c r="E48" s="269"/>
      <c r="F48" s="269"/>
      <c r="G48" s="269"/>
      <c r="H48" s="87"/>
      <c r="I48" s="87"/>
      <c r="J48" s="87"/>
      <c r="K48" s="87"/>
      <c r="L48" s="87"/>
      <c r="M48" s="87"/>
      <c r="N48" s="87"/>
      <c r="O48" s="86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151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150"/>
      <c r="CJ48" s="150"/>
      <c r="CK48" s="150"/>
      <c r="CL48" s="150"/>
      <c r="CM48" s="150"/>
      <c r="CN48" s="150"/>
      <c r="CO48" s="150"/>
      <c r="CP48" s="150"/>
      <c r="CQ48" s="150"/>
      <c r="CR48" s="87"/>
      <c r="CS48" s="87"/>
      <c r="CT48" s="241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405">
        <f t="shared" si="0"/>
        <v>0</v>
      </c>
    </row>
    <row r="49" spans="1:172" ht="27" customHeight="1">
      <c r="A49" s="232" t="s">
        <v>532</v>
      </c>
      <c r="B49" s="399">
        <f>900000+400000</f>
        <v>1300000</v>
      </c>
      <c r="C49" s="464" t="s">
        <v>531</v>
      </c>
      <c r="D49" s="26" t="s">
        <v>531</v>
      </c>
      <c r="E49" s="269"/>
      <c r="F49" s="269"/>
      <c r="G49" s="269"/>
      <c r="H49" s="87"/>
      <c r="I49" s="87"/>
      <c r="J49" s="87"/>
      <c r="K49" s="87"/>
      <c r="L49" s="87"/>
      <c r="M49" s="87"/>
      <c r="N49" s="87"/>
      <c r="O49" s="86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151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150"/>
      <c r="CJ49" s="150"/>
      <c r="CK49" s="150"/>
      <c r="CL49" s="150"/>
      <c r="CM49" s="150"/>
      <c r="CN49" s="150"/>
      <c r="CO49" s="150"/>
      <c r="CP49" s="150"/>
      <c r="CQ49" s="150"/>
      <c r="CR49" s="87"/>
      <c r="CS49" s="87"/>
      <c r="CT49" s="241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405">
        <f t="shared" si="0"/>
        <v>0</v>
      </c>
    </row>
    <row r="50" spans="1:172" ht="27" customHeight="1">
      <c r="A50" s="232" t="s">
        <v>533</v>
      </c>
      <c r="B50" s="399">
        <v>60000000</v>
      </c>
      <c r="C50" s="464" t="s">
        <v>531</v>
      </c>
      <c r="D50" s="26" t="s">
        <v>531</v>
      </c>
      <c r="E50" s="269"/>
      <c r="F50" s="269"/>
      <c r="G50" s="269"/>
      <c r="H50" s="87"/>
      <c r="I50" s="87"/>
      <c r="J50" s="87"/>
      <c r="K50" s="87"/>
      <c r="L50" s="87"/>
      <c r="M50" s="87"/>
      <c r="N50" s="87"/>
      <c r="O50" s="121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151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150"/>
      <c r="CJ50" s="150"/>
      <c r="CK50" s="150"/>
      <c r="CL50" s="150"/>
      <c r="CM50" s="150"/>
      <c r="CN50" s="150"/>
      <c r="CO50" s="150"/>
      <c r="CP50" s="150"/>
      <c r="CQ50" s="150"/>
      <c r="CR50" s="87"/>
      <c r="CS50" s="87"/>
      <c r="CT50" s="241"/>
      <c r="CU50" s="86"/>
      <c r="CV50" s="86"/>
      <c r="CW50" s="86"/>
      <c r="CX50" s="86"/>
      <c r="CY50" s="86"/>
      <c r="CZ50" s="86"/>
      <c r="DA50" s="86"/>
      <c r="DB50" s="413">
        <v>60000000</v>
      </c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6"/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/>
      <c r="EE50" s="86"/>
      <c r="EF50" s="86"/>
      <c r="EG50" s="86"/>
      <c r="EH50" s="86"/>
      <c r="EI50" s="86"/>
      <c r="EJ50" s="86"/>
      <c r="EK50" s="86"/>
      <c r="EL50" s="86"/>
      <c r="EM50" s="86"/>
      <c r="EN50" s="86"/>
      <c r="EO50" s="8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  <c r="FJ50" s="86"/>
      <c r="FK50" s="86"/>
      <c r="FL50" s="86"/>
      <c r="FM50" s="86"/>
      <c r="FN50" s="86"/>
      <c r="FO50" s="86"/>
      <c r="FP50" s="405">
        <f t="shared" si="0"/>
        <v>60000000</v>
      </c>
    </row>
    <row r="51" spans="1:172" ht="27" customHeight="1">
      <c r="A51" s="414" t="s">
        <v>534</v>
      </c>
      <c r="B51" s="461">
        <v>2500000</v>
      </c>
      <c r="C51" s="464" t="s">
        <v>94</v>
      </c>
      <c r="D51" s="26" t="s">
        <v>94</v>
      </c>
      <c r="E51" s="269"/>
      <c r="F51" s="269"/>
      <c r="G51" s="269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414"/>
      <c r="U51" s="87"/>
      <c r="V51" s="414"/>
      <c r="W51" s="87"/>
      <c r="X51" s="87"/>
      <c r="Y51" s="87"/>
      <c r="Z51" s="87"/>
      <c r="AA51" s="31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151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150"/>
      <c r="CJ51" s="150"/>
      <c r="CK51" s="150"/>
      <c r="CL51" s="150"/>
      <c r="CM51" s="150"/>
      <c r="CN51" s="150"/>
      <c r="CO51" s="150"/>
      <c r="CP51" s="150"/>
      <c r="CQ51" s="150"/>
      <c r="CR51" s="87"/>
      <c r="CS51" s="87"/>
      <c r="CT51" s="241"/>
      <c r="CU51" s="86"/>
      <c r="CV51" s="86"/>
      <c r="CW51" s="86"/>
      <c r="CX51" s="86"/>
      <c r="CY51" s="86"/>
      <c r="CZ51" s="86"/>
      <c r="DA51" s="86"/>
      <c r="DB51" s="86"/>
      <c r="DC51" s="86"/>
      <c r="DD51" s="234"/>
      <c r="DE51" s="86"/>
      <c r="DF51" s="86"/>
      <c r="DG51" s="86"/>
      <c r="DH51" s="86"/>
      <c r="DI51" s="86"/>
      <c r="DJ51" s="86"/>
      <c r="DK51" s="86"/>
      <c r="DL51" s="86"/>
      <c r="DM51" s="86"/>
      <c r="DN51" s="86"/>
      <c r="DO51" s="86"/>
      <c r="DP51" s="86"/>
      <c r="DQ51" s="86"/>
      <c r="DR51" s="86"/>
      <c r="DS51" s="86"/>
      <c r="DT51" s="86"/>
      <c r="DU51" s="86"/>
      <c r="DV51" s="86"/>
      <c r="DW51" s="86"/>
      <c r="DX51" s="86"/>
      <c r="DY51" s="86"/>
      <c r="DZ51" s="86"/>
      <c r="EA51" s="86"/>
      <c r="EB51" s="86"/>
      <c r="EC51" s="86"/>
      <c r="ED51" s="86"/>
      <c r="EE51" s="86"/>
      <c r="EF51" s="86"/>
      <c r="EG51" s="86"/>
      <c r="EH51" s="86"/>
      <c r="EI51" s="86"/>
      <c r="EJ51" s="86"/>
      <c r="EK51" s="86"/>
      <c r="EL51" s="86"/>
      <c r="EM51" s="86"/>
      <c r="EN51" s="86"/>
      <c r="EO51" s="8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  <c r="FJ51" s="86"/>
      <c r="FK51" s="86"/>
      <c r="FL51" s="86"/>
      <c r="FM51" s="86"/>
      <c r="FN51" s="86"/>
      <c r="FO51" s="86"/>
      <c r="FP51" s="405">
        <f t="shared" si="0"/>
        <v>0</v>
      </c>
    </row>
    <row r="52" spans="1:172" ht="27" customHeight="1">
      <c r="A52" s="415" t="s">
        <v>535</v>
      </c>
      <c r="B52" s="462">
        <v>3000000</v>
      </c>
      <c r="C52" s="464" t="s">
        <v>94</v>
      </c>
      <c r="D52" s="26" t="s">
        <v>94</v>
      </c>
      <c r="E52" s="269"/>
      <c r="F52" s="269"/>
      <c r="G52" s="269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31"/>
      <c r="AI52" s="87"/>
      <c r="AJ52" s="415"/>
      <c r="AK52" s="87"/>
      <c r="AL52" s="87"/>
      <c r="AM52" s="87"/>
      <c r="AN52" s="87"/>
      <c r="AO52" s="415"/>
      <c r="AP52" s="151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150"/>
      <c r="CJ52" s="150"/>
      <c r="CK52" s="150"/>
      <c r="CL52" s="150"/>
      <c r="CM52" s="150"/>
      <c r="CN52" s="150"/>
      <c r="CO52" s="150"/>
      <c r="CP52" s="150"/>
      <c r="CQ52" s="150"/>
      <c r="CR52" s="87"/>
      <c r="CS52" s="87"/>
      <c r="CT52" s="241"/>
      <c r="CU52" s="86"/>
      <c r="CV52" s="86"/>
      <c r="CW52" s="86"/>
      <c r="CX52" s="86"/>
      <c r="CY52" s="86"/>
      <c r="CZ52" s="86"/>
      <c r="DA52" s="86"/>
      <c r="DB52" s="86"/>
      <c r="DC52" s="86"/>
      <c r="DD52" s="234"/>
      <c r="DE52" s="86"/>
      <c r="DF52" s="86"/>
      <c r="DG52" s="86"/>
      <c r="DH52" s="86"/>
      <c r="DI52" s="86"/>
      <c r="DJ52" s="86"/>
      <c r="DK52" s="86"/>
      <c r="DL52" s="86"/>
      <c r="DM52" s="86"/>
      <c r="DN52" s="86"/>
      <c r="DO52" s="86"/>
      <c r="DP52" s="86"/>
      <c r="DQ52" s="86"/>
      <c r="DR52" s="86"/>
      <c r="DS52" s="86"/>
      <c r="DT52" s="86"/>
      <c r="DU52" s="86"/>
      <c r="DV52" s="86"/>
      <c r="DW52" s="86"/>
      <c r="DX52" s="86"/>
      <c r="DY52" s="86"/>
      <c r="DZ52" s="86"/>
      <c r="EA52" s="86"/>
      <c r="EB52" s="86"/>
      <c r="EC52" s="86"/>
      <c r="ED52" s="86"/>
      <c r="EE52" s="86"/>
      <c r="EF52" s="86"/>
      <c r="EG52" s="86"/>
      <c r="EH52" s="86"/>
      <c r="EI52" s="86"/>
      <c r="EJ52" s="86"/>
      <c r="EK52" s="86"/>
      <c r="EL52" s="86"/>
      <c r="EM52" s="86"/>
      <c r="EN52" s="86"/>
      <c r="EO52" s="8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  <c r="FJ52" s="86"/>
      <c r="FK52" s="86"/>
      <c r="FL52" s="86"/>
      <c r="FM52" s="86"/>
      <c r="FN52" s="86"/>
      <c r="FO52" s="86"/>
      <c r="FP52" s="405">
        <f t="shared" si="0"/>
        <v>0</v>
      </c>
    </row>
    <row r="53" spans="1:172" ht="27" customHeight="1">
      <c r="A53" s="416" t="s">
        <v>536</v>
      </c>
      <c r="B53" s="462">
        <v>1800000</v>
      </c>
      <c r="C53" s="464" t="s">
        <v>94</v>
      </c>
      <c r="D53" s="26" t="s">
        <v>94</v>
      </c>
      <c r="E53" s="269"/>
      <c r="F53" s="269"/>
      <c r="G53" s="269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31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151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150"/>
      <c r="CJ53" s="150"/>
      <c r="CK53" s="150"/>
      <c r="CL53" s="150"/>
      <c r="CM53" s="150"/>
      <c r="CN53" s="150"/>
      <c r="CO53" s="150"/>
      <c r="CP53" s="150"/>
      <c r="CQ53" s="150"/>
      <c r="CR53" s="87"/>
      <c r="CS53" s="87"/>
      <c r="CT53" s="241"/>
      <c r="CU53" s="86"/>
      <c r="CV53" s="86"/>
      <c r="CW53" s="86"/>
      <c r="CX53" s="86"/>
      <c r="CY53" s="86"/>
      <c r="CZ53" s="86"/>
      <c r="DA53" s="86"/>
      <c r="DB53" s="86"/>
      <c r="DC53" s="86"/>
      <c r="DD53" s="234"/>
      <c r="DE53" s="86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86"/>
      <c r="DR53" s="86"/>
      <c r="DS53" s="86"/>
      <c r="DT53" s="86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  <c r="EF53" s="86"/>
      <c r="EG53" s="86"/>
      <c r="EH53" s="86"/>
      <c r="EI53" s="86"/>
      <c r="EJ53" s="86"/>
      <c r="EK53" s="86"/>
      <c r="EL53" s="86"/>
      <c r="EM53" s="86"/>
      <c r="EN53" s="86"/>
      <c r="EO53" s="8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  <c r="FJ53" s="86"/>
      <c r="FK53" s="86"/>
      <c r="FL53" s="86"/>
      <c r="FM53" s="86"/>
      <c r="FN53" s="86"/>
      <c r="FO53" s="86"/>
      <c r="FP53" s="405">
        <f t="shared" si="0"/>
        <v>0</v>
      </c>
    </row>
    <row r="54" spans="1:172" ht="27" customHeight="1">
      <c r="A54" s="414" t="s">
        <v>537</v>
      </c>
      <c r="B54" s="462">
        <v>1500000</v>
      </c>
      <c r="C54" s="464" t="s">
        <v>94</v>
      </c>
      <c r="D54" s="26" t="s">
        <v>94</v>
      </c>
      <c r="E54" s="269"/>
      <c r="F54" s="269"/>
      <c r="G54" s="269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151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31"/>
      <c r="BD54" s="87"/>
      <c r="BE54" s="87"/>
      <c r="BF54" s="87"/>
      <c r="BG54" s="87"/>
      <c r="BH54" s="87"/>
      <c r="BI54" s="87"/>
      <c r="BJ54" s="414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150"/>
      <c r="CJ54" s="150"/>
      <c r="CK54" s="150"/>
      <c r="CL54" s="150"/>
      <c r="CM54" s="150"/>
      <c r="CN54" s="150"/>
      <c r="CO54" s="150"/>
      <c r="CP54" s="150"/>
      <c r="CQ54" s="150"/>
      <c r="CR54" s="87"/>
      <c r="CS54" s="87"/>
      <c r="CT54" s="241"/>
      <c r="CU54" s="86"/>
      <c r="CV54" s="86"/>
      <c r="CW54" s="86"/>
      <c r="CX54" s="86"/>
      <c r="CY54" s="86"/>
      <c r="CZ54" s="86"/>
      <c r="DA54" s="86"/>
      <c r="DB54" s="86"/>
      <c r="DC54" s="86"/>
      <c r="DD54" s="234"/>
      <c r="DE54" s="86"/>
      <c r="DF54" s="86"/>
      <c r="DG54" s="86"/>
      <c r="DH54" s="86"/>
      <c r="DI54" s="86"/>
      <c r="DJ54" s="86"/>
      <c r="DK54" s="86"/>
      <c r="DL54" s="86"/>
      <c r="DM54" s="86"/>
      <c r="DN54" s="86"/>
      <c r="DO54" s="86"/>
      <c r="DP54" s="86"/>
      <c r="DQ54" s="86"/>
      <c r="DR54" s="86"/>
      <c r="DS54" s="86"/>
      <c r="DT54" s="86"/>
      <c r="DU54" s="86"/>
      <c r="DV54" s="86"/>
      <c r="DW54" s="86"/>
      <c r="DX54" s="86"/>
      <c r="DY54" s="86"/>
      <c r="DZ54" s="86"/>
      <c r="EA54" s="86"/>
      <c r="EB54" s="86"/>
      <c r="EC54" s="86"/>
      <c r="ED54" s="86"/>
      <c r="EE54" s="86"/>
      <c r="EF54" s="86"/>
      <c r="EG54" s="86"/>
      <c r="EH54" s="86"/>
      <c r="EI54" s="86"/>
      <c r="EJ54" s="86"/>
      <c r="EK54" s="86"/>
      <c r="EL54" s="86"/>
      <c r="EM54" s="86"/>
      <c r="EN54" s="86"/>
      <c r="EO54" s="8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  <c r="FJ54" s="86"/>
      <c r="FK54" s="86"/>
      <c r="FL54" s="86"/>
      <c r="FM54" s="86"/>
      <c r="FN54" s="86"/>
      <c r="FO54" s="86"/>
      <c r="FP54" s="405">
        <f t="shared" si="0"/>
        <v>0</v>
      </c>
    </row>
    <row r="55" spans="1:172" ht="27" customHeight="1">
      <c r="A55" s="416" t="s">
        <v>538</v>
      </c>
      <c r="B55" s="462">
        <v>1000000</v>
      </c>
      <c r="C55" s="464" t="s">
        <v>94</v>
      </c>
      <c r="D55" s="26" t="s">
        <v>94</v>
      </c>
      <c r="E55" s="269"/>
      <c r="F55" s="269"/>
      <c r="G55" s="269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151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417"/>
      <c r="BK55" s="87"/>
      <c r="BL55" s="416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150"/>
      <c r="CJ55" s="150"/>
      <c r="CK55" s="150"/>
      <c r="CL55" s="150"/>
      <c r="CM55" s="150"/>
      <c r="CN55" s="150"/>
      <c r="CO55" s="150"/>
      <c r="CP55" s="150"/>
      <c r="CQ55" s="150"/>
      <c r="CR55" s="87"/>
      <c r="CS55" s="87"/>
      <c r="CT55" s="241"/>
      <c r="CU55" s="89"/>
      <c r="CV55" s="89"/>
      <c r="CW55" s="89"/>
      <c r="CX55" s="89"/>
      <c r="CY55" s="89"/>
      <c r="CZ55" s="89"/>
      <c r="DA55" s="89"/>
      <c r="DB55" s="89"/>
      <c r="DC55" s="89"/>
      <c r="DD55" s="234"/>
      <c r="DE55" s="86"/>
      <c r="DF55" s="86"/>
      <c r="DG55" s="86"/>
      <c r="DH55" s="86"/>
      <c r="DI55" s="86"/>
      <c r="DJ55" s="86"/>
      <c r="DK55" s="86"/>
      <c r="DL55" s="86"/>
      <c r="DM55" s="86"/>
      <c r="DN55" s="86"/>
      <c r="DO55" s="86"/>
      <c r="DP55" s="86"/>
      <c r="DQ55" s="86"/>
      <c r="DR55" s="86"/>
      <c r="DS55" s="86"/>
      <c r="DT55" s="86"/>
      <c r="DU55" s="86"/>
      <c r="DV55" s="86"/>
      <c r="DW55" s="86"/>
      <c r="DX55" s="86"/>
      <c r="DY55" s="86"/>
      <c r="DZ55" s="86"/>
      <c r="EA55" s="86"/>
      <c r="EB55" s="86"/>
      <c r="EC55" s="86"/>
      <c r="ED55" s="86"/>
      <c r="EE55" s="86"/>
      <c r="EF55" s="86"/>
      <c r="EG55" s="86"/>
      <c r="EH55" s="86"/>
      <c r="EI55" s="86"/>
      <c r="EJ55" s="86"/>
      <c r="EK55" s="86"/>
      <c r="EL55" s="86"/>
      <c r="EM55" s="86"/>
      <c r="EN55" s="86"/>
      <c r="EO55" s="8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  <c r="FJ55" s="86"/>
      <c r="FK55" s="86"/>
      <c r="FL55" s="86"/>
      <c r="FM55" s="86"/>
      <c r="FN55" s="86"/>
      <c r="FO55" s="86"/>
      <c r="FP55" s="405">
        <f t="shared" si="0"/>
        <v>0</v>
      </c>
    </row>
    <row r="56" spans="1:172" ht="27" customHeight="1">
      <c r="A56" s="415" t="s">
        <v>539</v>
      </c>
      <c r="B56" s="462">
        <v>1000000</v>
      </c>
      <c r="C56" s="464" t="s">
        <v>94</v>
      </c>
      <c r="D56" s="26" t="s">
        <v>94</v>
      </c>
      <c r="E56" s="269"/>
      <c r="F56" s="269"/>
      <c r="G56" s="269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31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151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415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150"/>
      <c r="CJ56" s="150"/>
      <c r="CK56" s="150"/>
      <c r="CL56" s="150"/>
      <c r="CM56" s="150"/>
      <c r="CN56" s="150"/>
      <c r="CO56" s="150"/>
      <c r="CP56" s="150"/>
      <c r="CQ56" s="150"/>
      <c r="CR56" s="87"/>
      <c r="CS56" s="87"/>
      <c r="CT56" s="241"/>
      <c r="CU56" s="86"/>
      <c r="CV56" s="86"/>
      <c r="CW56" s="86"/>
      <c r="CX56" s="86"/>
      <c r="CY56" s="86"/>
      <c r="CZ56" s="86"/>
      <c r="DA56" s="86"/>
      <c r="DB56" s="86"/>
      <c r="DC56" s="86"/>
      <c r="DD56" s="234"/>
      <c r="DE56" s="86"/>
      <c r="DF56" s="86"/>
      <c r="DG56" s="86"/>
      <c r="DH56" s="86"/>
      <c r="DI56" s="86"/>
      <c r="DJ56" s="86"/>
      <c r="DK56" s="86"/>
      <c r="DL56" s="86"/>
      <c r="DM56" s="86"/>
      <c r="DN56" s="86"/>
      <c r="DO56" s="86"/>
      <c r="DP56" s="86"/>
      <c r="DQ56" s="86"/>
      <c r="DR56" s="86"/>
      <c r="DS56" s="86"/>
      <c r="DT56" s="86"/>
      <c r="DU56" s="86"/>
      <c r="DV56" s="86"/>
      <c r="DW56" s="86"/>
      <c r="DX56" s="86"/>
      <c r="DY56" s="86"/>
      <c r="DZ56" s="86"/>
      <c r="EA56" s="86"/>
      <c r="EB56" s="86"/>
      <c r="EC56" s="86"/>
      <c r="ED56" s="86"/>
      <c r="EE56" s="86"/>
      <c r="EF56" s="86"/>
      <c r="EG56" s="86"/>
      <c r="EH56" s="86"/>
      <c r="EI56" s="86"/>
      <c r="EJ56" s="86"/>
      <c r="EK56" s="86"/>
      <c r="EL56" s="86"/>
      <c r="EM56" s="86"/>
      <c r="EN56" s="86"/>
      <c r="EO56" s="8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  <c r="FJ56" s="86"/>
      <c r="FK56" s="86"/>
      <c r="FL56" s="86"/>
      <c r="FM56" s="86"/>
      <c r="FN56" s="86"/>
      <c r="FO56" s="86"/>
      <c r="FP56" s="405">
        <f t="shared" si="0"/>
        <v>0</v>
      </c>
    </row>
    <row r="57" spans="1:172" ht="27" customHeight="1">
      <c r="A57" s="416" t="s">
        <v>540</v>
      </c>
      <c r="B57" s="462">
        <v>15000000</v>
      </c>
      <c r="C57" s="464" t="s">
        <v>94</v>
      </c>
      <c r="D57" s="26" t="s">
        <v>94</v>
      </c>
      <c r="E57" s="269"/>
      <c r="F57" s="269"/>
      <c r="G57" s="269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151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31"/>
      <c r="CA57" s="87"/>
      <c r="CB57" s="87"/>
      <c r="CC57" s="87"/>
      <c r="CD57" s="87"/>
      <c r="CE57" s="87"/>
      <c r="CF57" s="87"/>
      <c r="CG57" s="87"/>
      <c r="CH57" s="87"/>
      <c r="CI57" s="150"/>
      <c r="CJ57" s="150"/>
      <c r="CK57" s="150"/>
      <c r="CL57" s="150"/>
      <c r="CM57" s="150"/>
      <c r="CN57" s="150"/>
      <c r="CO57" s="150"/>
      <c r="CP57" s="150"/>
      <c r="CQ57" s="150"/>
      <c r="CR57" s="87"/>
      <c r="CS57" s="87"/>
      <c r="CT57" s="241"/>
      <c r="CU57" s="86"/>
      <c r="CV57" s="86"/>
      <c r="CW57" s="86"/>
      <c r="CX57" s="86"/>
      <c r="CY57" s="86"/>
      <c r="CZ57" s="86"/>
      <c r="DA57" s="86"/>
      <c r="DB57" s="86"/>
      <c r="DC57" s="86"/>
      <c r="DD57" s="234"/>
      <c r="DE57" s="86"/>
      <c r="DF57" s="86"/>
      <c r="DG57" s="86"/>
      <c r="DH57" s="86"/>
      <c r="DI57" s="86"/>
      <c r="DJ57" s="86"/>
      <c r="DK57" s="86"/>
      <c r="DL57" s="86"/>
      <c r="DM57" s="86"/>
      <c r="DN57" s="86"/>
      <c r="DO57" s="86"/>
      <c r="DP57" s="86"/>
      <c r="DQ57" s="86"/>
      <c r="DR57" s="86"/>
      <c r="DS57" s="86"/>
      <c r="DT57" s="86"/>
      <c r="DU57" s="86"/>
      <c r="DV57" s="86"/>
      <c r="DW57" s="86"/>
      <c r="DX57" s="86"/>
      <c r="DY57" s="86"/>
      <c r="DZ57" s="86"/>
      <c r="EA57" s="86"/>
      <c r="EB57" s="86"/>
      <c r="EC57" s="86"/>
      <c r="ED57" s="86"/>
      <c r="EE57" s="86"/>
      <c r="EF57" s="86"/>
      <c r="EG57" s="86"/>
      <c r="EH57" s="86"/>
      <c r="EI57" s="86"/>
      <c r="EJ57" s="86"/>
      <c r="EK57" s="86"/>
      <c r="EL57" s="86"/>
      <c r="EM57" s="86"/>
      <c r="EN57" s="86"/>
      <c r="EO57" s="8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  <c r="FJ57" s="86"/>
      <c r="FK57" s="86"/>
      <c r="FL57" s="86"/>
      <c r="FM57" s="86"/>
      <c r="FN57" s="86"/>
      <c r="FO57" s="86"/>
      <c r="FP57" s="405">
        <f t="shared" si="0"/>
        <v>0</v>
      </c>
    </row>
    <row r="58" spans="1:172" ht="27" customHeight="1">
      <c r="A58" s="416" t="s">
        <v>541</v>
      </c>
      <c r="B58" s="462">
        <v>1500000</v>
      </c>
      <c r="C58" s="464" t="s">
        <v>94</v>
      </c>
      <c r="D58" s="26" t="s">
        <v>94</v>
      </c>
      <c r="E58" s="269"/>
      <c r="F58" s="269"/>
      <c r="G58" s="269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151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464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416"/>
      <c r="CF58" s="87"/>
      <c r="CG58" s="87"/>
      <c r="CH58" s="87"/>
      <c r="CI58" s="150"/>
      <c r="CJ58" s="150"/>
      <c r="CK58" s="150"/>
      <c r="CL58" s="150"/>
      <c r="CM58" s="150"/>
      <c r="CN58" s="150"/>
      <c r="CO58" s="150"/>
      <c r="CP58" s="150"/>
      <c r="CQ58" s="150"/>
      <c r="CR58" s="87"/>
      <c r="CS58" s="87"/>
      <c r="CT58" s="241"/>
      <c r="CU58" s="86"/>
      <c r="CV58" s="86"/>
      <c r="CW58" s="86"/>
      <c r="CX58" s="86"/>
      <c r="CY58" s="86"/>
      <c r="CZ58" s="86"/>
      <c r="DA58" s="86"/>
      <c r="DB58" s="86"/>
      <c r="DC58" s="86"/>
      <c r="DD58" s="234"/>
      <c r="DE58" s="86"/>
      <c r="DF58" s="86"/>
      <c r="DG58" s="86"/>
      <c r="DH58" s="86"/>
      <c r="DI58" s="86"/>
      <c r="DJ58" s="86"/>
      <c r="DK58" s="86"/>
      <c r="DL58" s="86"/>
      <c r="DM58" s="86"/>
      <c r="DN58" s="86"/>
      <c r="DO58" s="86"/>
      <c r="DP58" s="86"/>
      <c r="DQ58" s="86"/>
      <c r="DR58" s="86"/>
      <c r="DS58" s="86"/>
      <c r="DT58" s="86"/>
      <c r="DU58" s="86"/>
      <c r="DV58" s="86"/>
      <c r="DW58" s="86"/>
      <c r="DX58" s="86"/>
      <c r="DY58" s="86"/>
      <c r="DZ58" s="86"/>
      <c r="EA58" s="86"/>
      <c r="EB58" s="86"/>
      <c r="EC58" s="86"/>
      <c r="ED58" s="86"/>
      <c r="EE58" s="86"/>
      <c r="EF58" s="86"/>
      <c r="EG58" s="86"/>
      <c r="EH58" s="86"/>
      <c r="EI58" s="86"/>
      <c r="EJ58" s="86"/>
      <c r="EK58" s="86"/>
      <c r="EL58" s="86"/>
      <c r="EM58" s="86"/>
      <c r="EN58" s="86"/>
      <c r="EO58" s="8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  <c r="FJ58" s="86"/>
      <c r="FK58" s="86"/>
      <c r="FL58" s="86"/>
      <c r="FM58" s="86"/>
      <c r="FN58" s="86"/>
      <c r="FO58" s="86"/>
      <c r="FP58" s="405">
        <f t="shared" si="0"/>
        <v>0</v>
      </c>
    </row>
    <row r="59" spans="1:172" ht="27" customHeight="1">
      <c r="A59" s="416" t="s">
        <v>542</v>
      </c>
      <c r="B59" s="462">
        <v>750000</v>
      </c>
      <c r="C59" s="464" t="s">
        <v>94</v>
      </c>
      <c r="D59" s="26" t="s">
        <v>94</v>
      </c>
      <c r="E59" s="269"/>
      <c r="F59" s="269"/>
      <c r="G59" s="269"/>
      <c r="H59" s="87"/>
      <c r="I59" s="87"/>
      <c r="J59" s="87"/>
      <c r="K59" s="87"/>
      <c r="L59" s="87"/>
      <c r="M59" s="87"/>
      <c r="N59" s="87"/>
      <c r="O59" s="31"/>
      <c r="P59" s="87"/>
      <c r="Q59" s="87"/>
      <c r="R59" s="87"/>
      <c r="S59" s="87"/>
      <c r="T59" s="416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151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150"/>
      <c r="CJ59" s="150"/>
      <c r="CK59" s="150"/>
      <c r="CL59" s="150"/>
      <c r="CM59" s="150"/>
      <c r="CN59" s="150"/>
      <c r="CO59" s="150"/>
      <c r="CP59" s="150"/>
      <c r="CQ59" s="150"/>
      <c r="CR59" s="87"/>
      <c r="CS59" s="87"/>
      <c r="CT59" s="241"/>
      <c r="CU59" s="86"/>
      <c r="CV59" s="86"/>
      <c r="CW59" s="86"/>
      <c r="CX59" s="86"/>
      <c r="CY59" s="86"/>
      <c r="CZ59" s="86"/>
      <c r="DA59" s="86"/>
      <c r="DB59" s="86"/>
      <c r="DC59" s="86"/>
      <c r="DD59" s="234"/>
      <c r="DE59" s="86"/>
      <c r="DF59" s="86"/>
      <c r="DG59" s="86"/>
      <c r="DH59" s="86"/>
      <c r="DI59" s="86"/>
      <c r="DJ59" s="86"/>
      <c r="DK59" s="86"/>
      <c r="DL59" s="86"/>
      <c r="DM59" s="86"/>
      <c r="DN59" s="86"/>
      <c r="DO59" s="86"/>
      <c r="DP59" s="86"/>
      <c r="DQ59" s="86"/>
      <c r="DR59" s="86"/>
      <c r="DS59" s="86"/>
      <c r="DT59" s="86"/>
      <c r="DU59" s="86"/>
      <c r="DV59" s="86"/>
      <c r="DW59" s="86"/>
      <c r="DX59" s="86"/>
      <c r="DY59" s="86"/>
      <c r="DZ59" s="86"/>
      <c r="EA59" s="86"/>
      <c r="EB59" s="86"/>
      <c r="EC59" s="86"/>
      <c r="ED59" s="86"/>
      <c r="EE59" s="86"/>
      <c r="EF59" s="86"/>
      <c r="EG59" s="86"/>
      <c r="EH59" s="86"/>
      <c r="EI59" s="86"/>
      <c r="EJ59" s="86"/>
      <c r="EK59" s="86"/>
      <c r="EL59" s="86"/>
      <c r="EM59" s="86"/>
      <c r="EN59" s="86"/>
      <c r="EO59" s="8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  <c r="FJ59" s="86"/>
      <c r="FK59" s="86"/>
      <c r="FL59" s="86"/>
      <c r="FM59" s="86"/>
      <c r="FN59" s="86"/>
      <c r="FO59" s="86"/>
      <c r="FP59" s="405">
        <f t="shared" si="0"/>
        <v>0</v>
      </c>
    </row>
    <row r="60" spans="1:172" ht="27" customHeight="1">
      <c r="A60" s="416" t="s">
        <v>543</v>
      </c>
      <c r="B60" s="462">
        <v>750000</v>
      </c>
      <c r="C60" s="464" t="s">
        <v>94</v>
      </c>
      <c r="D60" s="26" t="s">
        <v>94</v>
      </c>
      <c r="E60" s="269"/>
      <c r="F60" s="269"/>
      <c r="G60" s="269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151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31"/>
      <c r="CH60" s="87"/>
      <c r="CI60" s="150"/>
      <c r="CJ60" s="150"/>
      <c r="CK60" s="150"/>
      <c r="CL60" s="150"/>
      <c r="CM60" s="150"/>
      <c r="CN60" s="150"/>
      <c r="CO60" s="150"/>
      <c r="CP60" s="150"/>
      <c r="CQ60" s="150"/>
      <c r="CR60" s="87"/>
      <c r="CS60" s="87"/>
      <c r="CT60" s="241"/>
      <c r="CU60" s="86"/>
      <c r="CV60" s="86"/>
      <c r="CW60" s="86"/>
      <c r="CX60" s="86"/>
      <c r="CY60" s="86"/>
      <c r="CZ60" s="86"/>
      <c r="DA60" s="86"/>
      <c r="DB60" s="86"/>
      <c r="DC60" s="86"/>
      <c r="DD60" s="234"/>
      <c r="DE60" s="86"/>
      <c r="DF60" s="86"/>
      <c r="DG60" s="86"/>
      <c r="DH60" s="86"/>
      <c r="DI60" s="86"/>
      <c r="DJ60" s="86"/>
      <c r="DK60" s="86"/>
      <c r="DL60" s="86"/>
      <c r="DM60" s="86"/>
      <c r="DN60" s="86"/>
      <c r="DO60" s="86"/>
      <c r="DP60" s="86"/>
      <c r="DQ60" s="86"/>
      <c r="DR60" s="86"/>
      <c r="DS60" s="86"/>
      <c r="DT60" s="86"/>
      <c r="DU60" s="86"/>
      <c r="DV60" s="86"/>
      <c r="DW60" s="86"/>
      <c r="DX60" s="86"/>
      <c r="DY60" s="86"/>
      <c r="DZ60" s="86"/>
      <c r="EA60" s="86"/>
      <c r="EB60" s="86"/>
      <c r="EC60" s="86"/>
      <c r="ED60" s="86"/>
      <c r="EE60" s="86"/>
      <c r="EF60" s="86"/>
      <c r="EG60" s="86"/>
      <c r="EH60" s="86"/>
      <c r="EI60" s="86"/>
      <c r="EJ60" s="86"/>
      <c r="EK60" s="86"/>
      <c r="EL60" s="86"/>
      <c r="EM60" s="86"/>
      <c r="EN60" s="86"/>
      <c r="EO60" s="8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  <c r="FJ60" s="86"/>
      <c r="FK60" s="86"/>
      <c r="FL60" s="86"/>
      <c r="FM60" s="86"/>
      <c r="FN60" s="86"/>
      <c r="FO60" s="86"/>
      <c r="FP60" s="405">
        <f t="shared" si="0"/>
        <v>0</v>
      </c>
    </row>
    <row r="61" spans="1:172" ht="27" customHeight="1">
      <c r="A61" s="405" t="s">
        <v>544</v>
      </c>
      <c r="B61" s="399"/>
      <c r="C61" s="233"/>
      <c r="D61" s="26" t="s">
        <v>82</v>
      </c>
      <c r="E61" s="402"/>
      <c r="F61" s="402"/>
      <c r="G61" s="402"/>
      <c r="H61" s="402"/>
      <c r="I61" s="403"/>
      <c r="J61" s="403"/>
      <c r="K61" s="403"/>
      <c r="L61" s="403"/>
      <c r="M61" s="403"/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  <c r="AA61" s="403"/>
      <c r="AB61" s="403"/>
      <c r="AC61" s="403"/>
      <c r="AD61" s="403"/>
      <c r="AE61" s="403"/>
      <c r="AF61" s="403"/>
      <c r="AG61" s="403"/>
      <c r="AH61" s="403"/>
      <c r="AI61" s="403"/>
      <c r="AJ61" s="403"/>
      <c r="AK61" s="403"/>
      <c r="AL61" s="403"/>
      <c r="AM61" s="403"/>
      <c r="AN61" s="403"/>
      <c r="AO61" s="403"/>
      <c r="AP61" s="403"/>
      <c r="AQ61" s="412"/>
      <c r="AR61" s="403"/>
      <c r="AS61" s="403"/>
      <c r="AT61" s="403"/>
      <c r="AU61" s="403"/>
      <c r="AV61" s="403"/>
      <c r="AW61" s="403"/>
      <c r="AX61" s="403"/>
      <c r="AY61" s="403"/>
      <c r="AZ61" s="403"/>
      <c r="BA61" s="403"/>
      <c r="BB61" s="403"/>
      <c r="BC61" s="403"/>
      <c r="BD61" s="403"/>
      <c r="BE61" s="403"/>
      <c r="BF61" s="403"/>
      <c r="BG61" s="403"/>
      <c r="BH61" s="403"/>
      <c r="BI61" s="403"/>
      <c r="BJ61" s="403"/>
      <c r="BK61" s="403"/>
      <c r="BL61" s="403"/>
      <c r="BM61" s="403"/>
      <c r="BN61" s="403"/>
      <c r="BO61" s="403"/>
      <c r="BP61" s="403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  <c r="CJ61" s="403"/>
      <c r="CK61" s="403"/>
      <c r="CL61" s="403"/>
      <c r="CM61" s="403"/>
      <c r="CN61" s="403"/>
      <c r="CO61" s="403"/>
      <c r="CP61" s="403"/>
      <c r="CQ61" s="403"/>
      <c r="CR61" s="403"/>
      <c r="CS61" s="403"/>
      <c r="CT61" s="403"/>
      <c r="CU61" s="404"/>
      <c r="CV61" s="405"/>
      <c r="CW61" s="405"/>
      <c r="CX61" s="405"/>
      <c r="CY61" s="405"/>
      <c r="CZ61" s="405"/>
      <c r="DA61" s="405"/>
      <c r="DB61" s="405"/>
      <c r="DC61" s="405"/>
      <c r="DD61" s="405"/>
      <c r="DE61" s="405"/>
      <c r="DF61" s="405"/>
      <c r="DG61" s="405"/>
      <c r="DH61" s="405"/>
      <c r="DI61" s="405"/>
      <c r="DJ61" s="405">
        <v>7000000</v>
      </c>
      <c r="DK61" s="405"/>
      <c r="DL61" s="405"/>
      <c r="DM61" s="405"/>
      <c r="DN61" s="405"/>
      <c r="DO61" s="405"/>
      <c r="DP61" s="405"/>
      <c r="DQ61" s="405"/>
      <c r="DR61" s="405"/>
      <c r="DS61" s="405"/>
      <c r="DT61" s="405"/>
      <c r="DU61" s="405"/>
      <c r="DV61" s="405"/>
      <c r="DW61" s="405"/>
      <c r="DX61" s="405"/>
      <c r="DY61" s="405"/>
      <c r="DZ61" s="405"/>
      <c r="EA61" s="405"/>
      <c r="EB61" s="405"/>
      <c r="EC61" s="405"/>
      <c r="ED61" s="405"/>
      <c r="EE61" s="405"/>
      <c r="EF61" s="405"/>
      <c r="EG61" s="405"/>
      <c r="EH61" s="405"/>
      <c r="EI61" s="405"/>
      <c r="EJ61" s="405"/>
      <c r="EK61" s="405"/>
      <c r="EL61" s="405"/>
      <c r="EM61" s="405"/>
      <c r="EN61" s="405"/>
      <c r="EO61" s="405"/>
      <c r="EP61" s="405"/>
      <c r="EQ61" s="405"/>
      <c r="ER61" s="405"/>
      <c r="ES61" s="405"/>
      <c r="ET61" s="405"/>
      <c r="EU61" s="405"/>
      <c r="EV61" s="405"/>
      <c r="EW61" s="405"/>
      <c r="EX61" s="405"/>
      <c r="EY61" s="405"/>
      <c r="EZ61" s="405"/>
      <c r="FA61" s="405"/>
      <c r="FB61" s="405"/>
      <c r="FC61" s="405"/>
      <c r="FD61" s="405"/>
      <c r="FE61" s="405"/>
      <c r="FF61" s="405"/>
      <c r="FG61" s="405"/>
      <c r="FH61" s="405"/>
      <c r="FI61" s="405"/>
      <c r="FJ61" s="405"/>
      <c r="FK61" s="405"/>
      <c r="FL61" s="405"/>
      <c r="FM61" s="405"/>
      <c r="FN61" s="405"/>
      <c r="FO61" s="405"/>
      <c r="FP61" s="405">
        <f t="shared" ref="FP61:FP77" si="1">SUM(E61:FO61)</f>
        <v>7000000</v>
      </c>
    </row>
    <row r="62" spans="1:172" ht="27" customHeight="1">
      <c r="A62" s="405" t="s">
        <v>545</v>
      </c>
      <c r="B62" s="399"/>
      <c r="C62" s="233"/>
      <c r="D62" s="26" t="s">
        <v>82</v>
      </c>
      <c r="E62" s="402"/>
      <c r="F62" s="402"/>
      <c r="G62" s="402"/>
      <c r="H62" s="402"/>
      <c r="I62" s="403"/>
      <c r="J62" s="403"/>
      <c r="K62" s="403"/>
      <c r="L62" s="403"/>
      <c r="M62" s="403"/>
      <c r="N62" s="403"/>
      <c r="O62" s="403"/>
      <c r="P62" s="403"/>
      <c r="Q62" s="403"/>
      <c r="R62" s="403"/>
      <c r="S62" s="403"/>
      <c r="T62" s="403"/>
      <c r="U62" s="403"/>
      <c r="V62" s="403"/>
      <c r="W62" s="403"/>
      <c r="X62" s="403"/>
      <c r="Y62" s="403"/>
      <c r="Z62" s="403"/>
      <c r="AA62" s="403"/>
      <c r="AB62" s="403"/>
      <c r="AC62" s="403"/>
      <c r="AD62" s="403"/>
      <c r="AE62" s="403"/>
      <c r="AF62" s="403"/>
      <c r="AG62" s="403"/>
      <c r="AH62" s="403"/>
      <c r="AI62" s="403"/>
      <c r="AJ62" s="403"/>
      <c r="AK62" s="403"/>
      <c r="AL62" s="403"/>
      <c r="AM62" s="403"/>
      <c r="AN62" s="403"/>
      <c r="AO62" s="403"/>
      <c r="AP62" s="403"/>
      <c r="AQ62" s="412"/>
      <c r="AR62" s="403"/>
      <c r="AS62" s="403"/>
      <c r="AT62" s="403"/>
      <c r="AU62" s="403"/>
      <c r="AV62" s="403"/>
      <c r="AW62" s="403"/>
      <c r="AX62" s="403"/>
      <c r="AY62" s="403"/>
      <c r="AZ62" s="403"/>
      <c r="BA62" s="403"/>
      <c r="BB62" s="403"/>
      <c r="BC62" s="403"/>
      <c r="BD62" s="403"/>
      <c r="BE62" s="403"/>
      <c r="BF62" s="403"/>
      <c r="BG62" s="403"/>
      <c r="BH62" s="403"/>
      <c r="BI62" s="403"/>
      <c r="BJ62" s="403"/>
      <c r="BK62" s="403"/>
      <c r="BL62" s="403"/>
      <c r="BM62" s="403"/>
      <c r="BN62" s="403"/>
      <c r="BO62" s="403"/>
      <c r="BP62" s="403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  <c r="CJ62" s="403"/>
      <c r="CK62" s="403"/>
      <c r="CL62" s="403"/>
      <c r="CM62" s="403"/>
      <c r="CN62" s="403"/>
      <c r="CO62" s="403"/>
      <c r="CP62" s="403"/>
      <c r="CQ62" s="403"/>
      <c r="CR62" s="403"/>
      <c r="CS62" s="403"/>
      <c r="CT62" s="403"/>
      <c r="CU62" s="404"/>
      <c r="CV62" s="405"/>
      <c r="CW62" s="405"/>
      <c r="CX62" s="405"/>
      <c r="CY62" s="405"/>
      <c r="CZ62" s="405"/>
      <c r="DA62" s="405"/>
      <c r="DB62" s="405"/>
      <c r="DC62" s="405"/>
      <c r="DD62" s="405"/>
      <c r="DE62" s="405"/>
      <c r="DF62" s="405"/>
      <c r="DG62" s="405"/>
      <c r="DH62" s="405">
        <v>2500000</v>
      </c>
      <c r="DI62" s="405"/>
      <c r="DJ62" s="405"/>
      <c r="DK62" s="405"/>
      <c r="DL62" s="405"/>
      <c r="DM62" s="405"/>
      <c r="DN62" s="405"/>
      <c r="DO62" s="405"/>
      <c r="DP62" s="405"/>
      <c r="DQ62" s="405"/>
      <c r="DR62" s="405"/>
      <c r="DS62" s="405"/>
      <c r="DT62" s="405"/>
      <c r="DU62" s="405"/>
      <c r="DV62" s="405"/>
      <c r="DW62" s="405"/>
      <c r="DX62" s="405"/>
      <c r="DY62" s="405"/>
      <c r="DZ62" s="405"/>
      <c r="EA62" s="405"/>
      <c r="EB62" s="405"/>
      <c r="EC62" s="405"/>
      <c r="ED62" s="405"/>
      <c r="EE62" s="405"/>
      <c r="EF62" s="405"/>
      <c r="EG62" s="405"/>
      <c r="EH62" s="405"/>
      <c r="EI62" s="405"/>
      <c r="EJ62" s="405">
        <v>2500000</v>
      </c>
      <c r="EK62" s="405"/>
      <c r="EL62" s="405"/>
      <c r="EM62" s="405"/>
      <c r="EN62" s="405"/>
      <c r="EO62" s="405"/>
      <c r="EP62" s="405"/>
      <c r="EQ62" s="405"/>
      <c r="ER62" s="405"/>
      <c r="ES62" s="405"/>
      <c r="ET62" s="405"/>
      <c r="EU62" s="405"/>
      <c r="EV62" s="405"/>
      <c r="EW62" s="405"/>
      <c r="EX62" s="405"/>
      <c r="EY62" s="405"/>
      <c r="EZ62" s="405"/>
      <c r="FA62" s="405"/>
      <c r="FB62" s="405"/>
      <c r="FC62" s="405"/>
      <c r="FD62" s="405"/>
      <c r="FE62" s="405"/>
      <c r="FF62" s="405"/>
      <c r="FG62" s="405"/>
      <c r="FH62" s="405"/>
      <c r="FI62" s="405"/>
      <c r="FJ62" s="405"/>
      <c r="FK62" s="405"/>
      <c r="FL62" s="405"/>
      <c r="FM62" s="405"/>
      <c r="FN62" s="405"/>
      <c r="FO62" s="405">
        <v>2500000</v>
      </c>
      <c r="FP62" s="405">
        <f t="shared" si="1"/>
        <v>7500000</v>
      </c>
    </row>
    <row r="63" spans="1:172" ht="27" customHeight="1">
      <c r="A63" s="405" t="s">
        <v>546</v>
      </c>
      <c r="B63" s="399"/>
      <c r="C63" s="233"/>
      <c r="D63" s="26" t="s">
        <v>82</v>
      </c>
      <c r="E63" s="402"/>
      <c r="F63" s="402"/>
      <c r="G63" s="402"/>
      <c r="H63" s="402"/>
      <c r="I63" s="403"/>
      <c r="J63" s="403"/>
      <c r="K63" s="403"/>
      <c r="L63" s="403"/>
      <c r="M63" s="403"/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403"/>
      <c r="AC63" s="403"/>
      <c r="AD63" s="403"/>
      <c r="AE63" s="403"/>
      <c r="AF63" s="403"/>
      <c r="AG63" s="403"/>
      <c r="AH63" s="403"/>
      <c r="AI63" s="403"/>
      <c r="AJ63" s="403"/>
      <c r="AK63" s="403"/>
      <c r="AL63" s="403"/>
      <c r="AM63" s="403"/>
      <c r="AN63" s="403"/>
      <c r="AO63" s="403"/>
      <c r="AP63" s="403"/>
      <c r="AQ63" s="412"/>
      <c r="AR63" s="403"/>
      <c r="AS63" s="403"/>
      <c r="AT63" s="403"/>
      <c r="AU63" s="403"/>
      <c r="AV63" s="403"/>
      <c r="AW63" s="403"/>
      <c r="AX63" s="403"/>
      <c r="AY63" s="403"/>
      <c r="AZ63" s="403"/>
      <c r="BA63" s="403"/>
      <c r="BB63" s="403"/>
      <c r="BC63" s="403"/>
      <c r="BD63" s="403"/>
      <c r="BE63" s="403"/>
      <c r="BF63" s="403"/>
      <c r="BG63" s="403"/>
      <c r="BH63" s="403"/>
      <c r="BI63" s="403"/>
      <c r="BJ63" s="403"/>
      <c r="BK63" s="403"/>
      <c r="BL63" s="403"/>
      <c r="BM63" s="403"/>
      <c r="BN63" s="403"/>
      <c r="BO63" s="403"/>
      <c r="BP63" s="403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  <c r="CJ63" s="403"/>
      <c r="CK63" s="403"/>
      <c r="CL63" s="403"/>
      <c r="CM63" s="403"/>
      <c r="CN63" s="403"/>
      <c r="CO63" s="403"/>
      <c r="CP63" s="403"/>
      <c r="CQ63" s="403"/>
      <c r="CR63" s="403"/>
      <c r="CS63" s="403"/>
      <c r="CT63" s="403"/>
      <c r="CU63" s="404"/>
      <c r="CV63" s="405"/>
      <c r="CW63" s="405"/>
      <c r="CX63" s="405"/>
      <c r="CY63" s="405"/>
      <c r="CZ63" s="405"/>
      <c r="DA63" s="405"/>
      <c r="DB63" s="405"/>
      <c r="DC63" s="405"/>
      <c r="DD63" s="405"/>
      <c r="DE63" s="405"/>
      <c r="DF63" s="405"/>
      <c r="DG63" s="405"/>
      <c r="DH63" s="405"/>
      <c r="DI63" s="405"/>
      <c r="DJ63" s="405"/>
      <c r="DK63" s="405"/>
      <c r="DL63" s="405"/>
      <c r="DM63" s="405"/>
      <c r="DN63" s="405"/>
      <c r="DO63" s="405">
        <v>500000</v>
      </c>
      <c r="DP63" s="405"/>
      <c r="DQ63" s="405"/>
      <c r="DR63" s="405"/>
      <c r="DS63" s="405"/>
      <c r="DT63" s="405"/>
      <c r="DU63" s="405"/>
      <c r="DV63" s="405"/>
      <c r="DW63" s="405"/>
      <c r="DX63" s="405"/>
      <c r="DY63" s="405"/>
      <c r="DZ63" s="405"/>
      <c r="EA63" s="405"/>
      <c r="EB63" s="405"/>
      <c r="EC63" s="405"/>
      <c r="ED63" s="405"/>
      <c r="EE63" s="405"/>
      <c r="EF63" s="405"/>
      <c r="EG63" s="405"/>
      <c r="EH63" s="405"/>
      <c r="EI63" s="405"/>
      <c r="EJ63" s="405"/>
      <c r="EK63" s="405"/>
      <c r="EL63" s="405"/>
      <c r="EM63" s="405"/>
      <c r="EN63" s="405"/>
      <c r="EO63" s="405"/>
      <c r="EP63" s="405"/>
      <c r="EQ63" s="405"/>
      <c r="ER63" s="405"/>
      <c r="ES63" s="405"/>
      <c r="ET63" s="405"/>
      <c r="EU63" s="405"/>
      <c r="EV63" s="405"/>
      <c r="EW63" s="405"/>
      <c r="EX63" s="405"/>
      <c r="EY63" s="405"/>
      <c r="EZ63" s="405"/>
      <c r="FA63" s="405"/>
      <c r="FB63" s="405"/>
      <c r="FC63" s="405"/>
      <c r="FD63" s="405"/>
      <c r="FE63" s="405"/>
      <c r="FF63" s="405"/>
      <c r="FG63" s="405"/>
      <c r="FH63" s="405"/>
      <c r="FI63" s="405"/>
      <c r="FJ63" s="405"/>
      <c r="FK63" s="405"/>
      <c r="FL63" s="405"/>
      <c r="FM63" s="405"/>
      <c r="FN63" s="405"/>
      <c r="FO63" s="405"/>
      <c r="FP63" s="405">
        <f t="shared" si="1"/>
        <v>500000</v>
      </c>
    </row>
    <row r="64" spans="1:172" ht="27" customHeight="1">
      <c r="A64" s="405" t="s">
        <v>547</v>
      </c>
      <c r="B64" s="399"/>
      <c r="C64" s="233"/>
      <c r="D64" s="26" t="s">
        <v>82</v>
      </c>
      <c r="E64" s="402"/>
      <c r="F64" s="402"/>
      <c r="G64" s="402"/>
      <c r="H64" s="402"/>
      <c r="I64" s="403"/>
      <c r="J64" s="403"/>
      <c r="K64" s="403"/>
      <c r="L64" s="403"/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3"/>
      <c r="AB64" s="403"/>
      <c r="AC64" s="403"/>
      <c r="AD64" s="403"/>
      <c r="AE64" s="403"/>
      <c r="AF64" s="403"/>
      <c r="AG64" s="403"/>
      <c r="AH64" s="403"/>
      <c r="AI64" s="403"/>
      <c r="AJ64" s="403"/>
      <c r="AK64" s="403"/>
      <c r="AL64" s="403"/>
      <c r="AM64" s="403"/>
      <c r="AN64" s="403"/>
      <c r="AO64" s="403"/>
      <c r="AP64" s="403"/>
      <c r="AQ64" s="412"/>
      <c r="AR64" s="403"/>
      <c r="AS64" s="403"/>
      <c r="AT64" s="403"/>
      <c r="AU64" s="403"/>
      <c r="AV64" s="403"/>
      <c r="AW64" s="403"/>
      <c r="AX64" s="403"/>
      <c r="AY64" s="403"/>
      <c r="AZ64" s="403"/>
      <c r="BA64" s="403"/>
      <c r="BB64" s="403"/>
      <c r="BC64" s="403"/>
      <c r="BD64" s="403"/>
      <c r="BE64" s="403"/>
      <c r="BF64" s="403"/>
      <c r="BG64" s="403"/>
      <c r="BH64" s="403"/>
      <c r="BI64" s="403"/>
      <c r="BJ64" s="403"/>
      <c r="BK64" s="403"/>
      <c r="BL64" s="403"/>
      <c r="BM64" s="403"/>
      <c r="BN64" s="403"/>
      <c r="BO64" s="403"/>
      <c r="BP64" s="403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  <c r="CJ64" s="403"/>
      <c r="CK64" s="403"/>
      <c r="CL64" s="403"/>
      <c r="CM64" s="403"/>
      <c r="CN64" s="403"/>
      <c r="CO64" s="403"/>
      <c r="CP64" s="403"/>
      <c r="CQ64" s="403"/>
      <c r="CR64" s="403"/>
      <c r="CS64" s="403"/>
      <c r="CT64" s="403"/>
      <c r="CU64" s="404"/>
      <c r="CV64" s="405"/>
      <c r="CW64" s="405"/>
      <c r="CX64" s="405"/>
      <c r="CY64" s="405"/>
      <c r="CZ64" s="405"/>
      <c r="DA64" s="405"/>
      <c r="DB64" s="405"/>
      <c r="DC64" s="405"/>
      <c r="DD64" s="405"/>
      <c r="DE64" s="405"/>
      <c r="DF64" s="405"/>
      <c r="DG64" s="405"/>
      <c r="DH64" s="405"/>
      <c r="DI64" s="405"/>
      <c r="DJ64" s="405"/>
      <c r="DK64" s="405"/>
      <c r="DL64" s="405"/>
      <c r="DM64" s="405"/>
      <c r="DN64" s="405"/>
      <c r="DO64" s="405"/>
      <c r="DP64" s="405"/>
      <c r="DQ64" s="405"/>
      <c r="DR64" s="405"/>
      <c r="DS64" s="405"/>
      <c r="DT64" s="405"/>
      <c r="DU64" s="405"/>
      <c r="DV64" s="405"/>
      <c r="DW64" s="405"/>
      <c r="DX64" s="405"/>
      <c r="DY64" s="405"/>
      <c r="DZ64" s="405"/>
      <c r="EA64" s="405"/>
      <c r="EB64" s="405"/>
      <c r="EC64" s="405"/>
      <c r="ED64" s="405"/>
      <c r="EE64" s="405"/>
      <c r="EF64" s="405"/>
      <c r="EG64" s="405"/>
      <c r="EH64" s="405"/>
      <c r="EI64" s="405"/>
      <c r="EJ64" s="405"/>
      <c r="EK64" s="405"/>
      <c r="EL64" s="405"/>
      <c r="EM64" s="405"/>
      <c r="EN64" s="405"/>
      <c r="EO64" s="405"/>
      <c r="EP64" s="405"/>
      <c r="EQ64" s="405"/>
      <c r="ER64" s="405"/>
      <c r="ES64" s="405"/>
      <c r="ET64" s="405"/>
      <c r="EU64" s="405"/>
      <c r="EV64" s="405"/>
      <c r="EW64" s="405"/>
      <c r="EX64" s="405"/>
      <c r="EY64" s="405"/>
      <c r="EZ64" s="405"/>
      <c r="FA64" s="405"/>
      <c r="FB64" s="405"/>
      <c r="FC64" s="405"/>
      <c r="FD64" s="405"/>
      <c r="FE64" s="405">
        <v>50000000</v>
      </c>
      <c r="FF64" s="405"/>
      <c r="FG64" s="405"/>
      <c r="FH64" s="405"/>
      <c r="FI64" s="405"/>
      <c r="FJ64" s="405"/>
      <c r="FK64" s="405"/>
      <c r="FL64" s="405"/>
      <c r="FM64" s="405"/>
      <c r="FN64" s="405"/>
      <c r="FO64" s="405"/>
      <c r="FP64" s="405">
        <f t="shared" si="1"/>
        <v>50000000</v>
      </c>
    </row>
    <row r="65" spans="1:172" ht="27" customHeight="1">
      <c r="A65" s="405" t="s">
        <v>548</v>
      </c>
      <c r="B65" s="399"/>
      <c r="C65" s="233"/>
      <c r="D65" s="26" t="s">
        <v>82</v>
      </c>
      <c r="E65" s="402"/>
      <c r="F65" s="402"/>
      <c r="G65" s="402"/>
      <c r="H65" s="402"/>
      <c r="I65" s="403"/>
      <c r="J65" s="403"/>
      <c r="K65" s="403"/>
      <c r="L65" s="403"/>
      <c r="M65" s="403"/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403"/>
      <c r="Y65" s="403"/>
      <c r="Z65" s="403"/>
      <c r="AA65" s="403"/>
      <c r="AB65" s="403"/>
      <c r="AC65" s="403"/>
      <c r="AD65" s="403"/>
      <c r="AE65" s="403"/>
      <c r="AF65" s="403"/>
      <c r="AG65" s="403"/>
      <c r="AH65" s="403"/>
      <c r="AI65" s="403"/>
      <c r="AJ65" s="403"/>
      <c r="AK65" s="403"/>
      <c r="AL65" s="403"/>
      <c r="AM65" s="403"/>
      <c r="AN65" s="403"/>
      <c r="AO65" s="403"/>
      <c r="AP65" s="403"/>
      <c r="AQ65" s="412"/>
      <c r="AR65" s="403"/>
      <c r="AS65" s="403"/>
      <c r="AT65" s="403"/>
      <c r="AU65" s="403"/>
      <c r="AV65" s="403"/>
      <c r="AW65" s="403"/>
      <c r="AX65" s="403"/>
      <c r="AY65" s="403"/>
      <c r="AZ65" s="403"/>
      <c r="BA65" s="403"/>
      <c r="BB65" s="403"/>
      <c r="BC65" s="403"/>
      <c r="BD65" s="403"/>
      <c r="BE65" s="403"/>
      <c r="BF65" s="403"/>
      <c r="BG65" s="403"/>
      <c r="BH65" s="403"/>
      <c r="BI65" s="403"/>
      <c r="BJ65" s="403"/>
      <c r="BK65" s="403"/>
      <c r="BL65" s="403"/>
      <c r="BM65" s="403"/>
      <c r="BN65" s="403"/>
      <c r="BO65" s="403"/>
      <c r="BP65" s="403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  <c r="CJ65" s="403"/>
      <c r="CK65" s="403"/>
      <c r="CL65" s="403"/>
      <c r="CM65" s="403"/>
      <c r="CN65" s="403"/>
      <c r="CO65" s="403"/>
      <c r="CP65" s="403"/>
      <c r="CQ65" s="403"/>
      <c r="CR65" s="403"/>
      <c r="CS65" s="403"/>
      <c r="CT65" s="403"/>
      <c r="CU65" s="404"/>
      <c r="CV65" s="405"/>
      <c r="CW65" s="405"/>
      <c r="CX65" s="405"/>
      <c r="CY65" s="405"/>
      <c r="CZ65" s="405"/>
      <c r="DA65" s="405"/>
      <c r="DB65" s="405"/>
      <c r="DC65" s="405"/>
      <c r="DD65" s="405"/>
      <c r="DE65" s="405"/>
      <c r="DF65" s="405"/>
      <c r="DG65" s="405"/>
      <c r="DH65" s="405"/>
      <c r="DI65" s="405"/>
      <c r="DJ65" s="405"/>
      <c r="DK65" s="405"/>
      <c r="DL65" s="405"/>
      <c r="DM65" s="405"/>
      <c r="DN65" s="405"/>
      <c r="DO65" s="405"/>
      <c r="DP65" s="405"/>
      <c r="DQ65" s="405">
        <v>600000</v>
      </c>
      <c r="DR65" s="405"/>
      <c r="DS65" s="405"/>
      <c r="DT65" s="405"/>
      <c r="DU65" s="405"/>
      <c r="DV65" s="405"/>
      <c r="DW65" s="405"/>
      <c r="DX65" s="405"/>
      <c r="DY65" s="405"/>
      <c r="DZ65" s="405"/>
      <c r="EA65" s="405"/>
      <c r="EB65" s="405"/>
      <c r="EC65" s="405"/>
      <c r="ED65" s="405"/>
      <c r="EE65" s="405"/>
      <c r="EF65" s="405"/>
      <c r="EG65" s="405"/>
      <c r="EH65" s="405"/>
      <c r="EI65" s="405"/>
      <c r="EJ65" s="405"/>
      <c r="EK65" s="405"/>
      <c r="EL65" s="405"/>
      <c r="EM65" s="405"/>
      <c r="EN65" s="405"/>
      <c r="EO65" s="405"/>
      <c r="EP65" s="405"/>
      <c r="EQ65" s="405"/>
      <c r="ER65" s="405"/>
      <c r="ES65" s="405">
        <v>600000</v>
      </c>
      <c r="ET65" s="405"/>
      <c r="EU65" s="405"/>
      <c r="EV65" s="405"/>
      <c r="EW65" s="405"/>
      <c r="EX65" s="405"/>
      <c r="EY65" s="405"/>
      <c r="EZ65" s="405"/>
      <c r="FA65" s="405"/>
      <c r="FB65" s="405"/>
      <c r="FC65" s="405"/>
      <c r="FD65" s="405"/>
      <c r="FE65" s="405"/>
      <c r="FF65" s="405"/>
      <c r="FG65" s="405"/>
      <c r="FH65" s="405"/>
      <c r="FI65" s="405"/>
      <c r="FJ65" s="405"/>
      <c r="FK65" s="405"/>
      <c r="FL65" s="405"/>
      <c r="FM65" s="405"/>
      <c r="FN65" s="405"/>
      <c r="FO65" s="405"/>
      <c r="FP65" s="405">
        <f t="shared" si="1"/>
        <v>1200000</v>
      </c>
    </row>
    <row r="66" spans="1:172" ht="27" customHeight="1">
      <c r="A66" s="405" t="s">
        <v>549</v>
      </c>
      <c r="B66" s="399"/>
      <c r="C66" s="233"/>
      <c r="D66" s="26" t="s">
        <v>82</v>
      </c>
      <c r="E66" s="402"/>
      <c r="F66" s="402"/>
      <c r="G66" s="402"/>
      <c r="H66" s="402"/>
      <c r="I66" s="403"/>
      <c r="J66" s="403"/>
      <c r="K66" s="403"/>
      <c r="L66" s="403"/>
      <c r="M66" s="403"/>
      <c r="N66" s="403"/>
      <c r="O66" s="403"/>
      <c r="P66" s="403"/>
      <c r="Q66" s="403"/>
      <c r="R66" s="403"/>
      <c r="S66" s="403"/>
      <c r="T66" s="403"/>
      <c r="U66" s="403"/>
      <c r="V66" s="403"/>
      <c r="W66" s="403"/>
      <c r="X66" s="403"/>
      <c r="Y66" s="403"/>
      <c r="Z66" s="403"/>
      <c r="AA66" s="403"/>
      <c r="AB66" s="403"/>
      <c r="AC66" s="403"/>
      <c r="AD66" s="403"/>
      <c r="AE66" s="403"/>
      <c r="AF66" s="403"/>
      <c r="AG66" s="403"/>
      <c r="AH66" s="403"/>
      <c r="AI66" s="403"/>
      <c r="AJ66" s="403"/>
      <c r="AK66" s="403"/>
      <c r="AL66" s="403"/>
      <c r="AM66" s="403"/>
      <c r="AN66" s="403"/>
      <c r="AO66" s="403"/>
      <c r="AP66" s="403"/>
      <c r="AQ66" s="412"/>
      <c r="AR66" s="403"/>
      <c r="AS66" s="403"/>
      <c r="AT66" s="403"/>
      <c r="AU66" s="403"/>
      <c r="AV66" s="403"/>
      <c r="AW66" s="403"/>
      <c r="AX66" s="403"/>
      <c r="AY66" s="403"/>
      <c r="AZ66" s="403"/>
      <c r="BA66" s="403"/>
      <c r="BB66" s="403"/>
      <c r="BC66" s="403"/>
      <c r="BD66" s="403"/>
      <c r="BE66" s="403"/>
      <c r="BF66" s="403"/>
      <c r="BG66" s="403"/>
      <c r="BH66" s="403"/>
      <c r="BI66" s="403"/>
      <c r="BJ66" s="403"/>
      <c r="BK66" s="403"/>
      <c r="BL66" s="403"/>
      <c r="BM66" s="403"/>
      <c r="BN66" s="403"/>
      <c r="BO66" s="403"/>
      <c r="BP66" s="403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  <c r="CJ66" s="403"/>
      <c r="CK66" s="403"/>
      <c r="CL66" s="403"/>
      <c r="CM66" s="403"/>
      <c r="CN66" s="403"/>
      <c r="CO66" s="403"/>
      <c r="CP66" s="403"/>
      <c r="CQ66" s="403"/>
      <c r="CR66" s="403"/>
      <c r="CS66" s="403"/>
      <c r="CT66" s="403"/>
      <c r="CU66" s="404"/>
      <c r="CV66" s="405"/>
      <c r="CW66" s="405"/>
      <c r="CX66" s="405"/>
      <c r="CY66" s="405"/>
      <c r="CZ66" s="405"/>
      <c r="DA66" s="405"/>
      <c r="DB66" s="405"/>
      <c r="DC66" s="405"/>
      <c r="DD66" s="405"/>
      <c r="DE66" s="405"/>
      <c r="DF66" s="405"/>
      <c r="DG66" s="405"/>
      <c r="DH66" s="405"/>
      <c r="DI66" s="405"/>
      <c r="DJ66" s="405"/>
      <c r="DK66" s="405"/>
      <c r="DL66" s="405"/>
      <c r="DM66" s="405"/>
      <c r="DN66" s="405"/>
      <c r="DO66" s="405"/>
      <c r="DP66" s="405"/>
      <c r="DQ66" s="405">
        <v>850000</v>
      </c>
      <c r="DR66" s="405"/>
      <c r="DS66" s="405"/>
      <c r="DT66" s="405"/>
      <c r="DU66" s="405"/>
      <c r="DV66" s="405"/>
      <c r="DW66" s="405"/>
      <c r="DX66" s="405"/>
      <c r="DY66" s="405"/>
      <c r="DZ66" s="405"/>
      <c r="EA66" s="405"/>
      <c r="EB66" s="405"/>
      <c r="EC66" s="405"/>
      <c r="ED66" s="405"/>
      <c r="EE66" s="405"/>
      <c r="EF66" s="405"/>
      <c r="EG66" s="405"/>
      <c r="EH66" s="405"/>
      <c r="EI66" s="405"/>
      <c r="EJ66" s="405"/>
      <c r="EK66" s="405"/>
      <c r="EL66" s="405"/>
      <c r="EM66" s="405"/>
      <c r="EN66" s="405"/>
      <c r="EO66" s="405"/>
      <c r="EP66" s="405"/>
      <c r="EQ66" s="405">
        <v>850000</v>
      </c>
      <c r="ER66" s="405"/>
      <c r="ES66" s="405"/>
      <c r="ET66" s="405"/>
      <c r="EU66" s="405"/>
      <c r="EV66" s="405"/>
      <c r="EW66" s="405"/>
      <c r="EX66" s="405"/>
      <c r="EY66" s="405"/>
      <c r="EZ66" s="405"/>
      <c r="FA66" s="405"/>
      <c r="FB66" s="405"/>
      <c r="FC66" s="405"/>
      <c r="FD66" s="405"/>
      <c r="FE66" s="405"/>
      <c r="FF66" s="405"/>
      <c r="FG66" s="405"/>
      <c r="FH66" s="405"/>
      <c r="FI66" s="405"/>
      <c r="FJ66" s="405"/>
      <c r="FK66" s="405"/>
      <c r="FL66" s="405"/>
      <c r="FM66" s="405"/>
      <c r="FN66" s="405"/>
      <c r="FO66" s="405"/>
      <c r="FP66" s="405">
        <f t="shared" si="1"/>
        <v>1700000</v>
      </c>
    </row>
    <row r="67" spans="1:172" ht="27" customHeight="1">
      <c r="A67" s="405" t="s">
        <v>550</v>
      </c>
      <c r="B67" s="399"/>
      <c r="C67" s="233"/>
      <c r="D67" s="26" t="s">
        <v>82</v>
      </c>
      <c r="E67" s="402"/>
      <c r="F67" s="402"/>
      <c r="G67" s="402"/>
      <c r="H67" s="402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  <c r="AH67" s="403"/>
      <c r="AI67" s="403"/>
      <c r="AJ67" s="403"/>
      <c r="AK67" s="403"/>
      <c r="AL67" s="403"/>
      <c r="AM67" s="403"/>
      <c r="AN67" s="403"/>
      <c r="AO67" s="403"/>
      <c r="AP67" s="403"/>
      <c r="AQ67" s="412"/>
      <c r="AR67" s="403"/>
      <c r="AS67" s="403"/>
      <c r="AT67" s="403"/>
      <c r="AU67" s="403"/>
      <c r="AV67" s="403"/>
      <c r="AW67" s="403"/>
      <c r="AX67" s="403"/>
      <c r="AY67" s="403"/>
      <c r="AZ67" s="403"/>
      <c r="BA67" s="403"/>
      <c r="BB67" s="403"/>
      <c r="BC67" s="403"/>
      <c r="BD67" s="403"/>
      <c r="BE67" s="403"/>
      <c r="BF67" s="403"/>
      <c r="BG67" s="403"/>
      <c r="BH67" s="403"/>
      <c r="BI67" s="403"/>
      <c r="BJ67" s="403"/>
      <c r="BK67" s="403"/>
      <c r="BL67" s="403"/>
      <c r="BM67" s="403"/>
      <c r="BN67" s="403"/>
      <c r="BO67" s="403"/>
      <c r="BP67" s="403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  <c r="CJ67" s="403"/>
      <c r="CK67" s="403"/>
      <c r="CL67" s="403"/>
      <c r="CM67" s="403"/>
      <c r="CN67" s="403"/>
      <c r="CO67" s="403"/>
      <c r="CP67" s="403"/>
      <c r="CQ67" s="403"/>
      <c r="CR67" s="403"/>
      <c r="CS67" s="403"/>
      <c r="CT67" s="403"/>
      <c r="CU67" s="404"/>
      <c r="CV67" s="405"/>
      <c r="CW67" s="405"/>
      <c r="CX67" s="405"/>
      <c r="CY67" s="405"/>
      <c r="CZ67" s="405"/>
      <c r="DA67" s="405"/>
      <c r="DB67" s="405"/>
      <c r="DC67" s="405"/>
      <c r="DD67" s="405"/>
      <c r="DE67" s="405"/>
      <c r="DF67" s="405"/>
      <c r="DG67" s="405"/>
      <c r="DH67" s="405"/>
      <c r="DI67" s="405"/>
      <c r="DJ67" s="405">
        <v>3250000</v>
      </c>
      <c r="DK67" s="405"/>
      <c r="DL67" s="405"/>
      <c r="DM67" s="405"/>
      <c r="DN67" s="405"/>
      <c r="DO67" s="405"/>
      <c r="DP67" s="405"/>
      <c r="DQ67" s="405"/>
      <c r="DR67" s="405"/>
      <c r="DS67" s="405"/>
      <c r="DT67" s="405"/>
      <c r="DU67" s="405"/>
      <c r="DV67" s="405"/>
      <c r="DW67" s="405"/>
      <c r="DX67" s="405"/>
      <c r="DY67" s="405"/>
      <c r="DZ67" s="405"/>
      <c r="EA67" s="405"/>
      <c r="EB67" s="405"/>
      <c r="EC67" s="405"/>
      <c r="ED67" s="405"/>
      <c r="EE67" s="405"/>
      <c r="EF67" s="405"/>
      <c r="EG67" s="405"/>
      <c r="EH67" s="405"/>
      <c r="EI67" s="405"/>
      <c r="EJ67" s="405"/>
      <c r="EK67" s="405"/>
      <c r="EL67" s="405"/>
      <c r="EM67" s="405"/>
      <c r="EN67" s="405"/>
      <c r="EO67" s="405"/>
      <c r="EP67" s="405"/>
      <c r="EQ67" s="405">
        <v>3250000</v>
      </c>
      <c r="ER67" s="405"/>
      <c r="ES67" s="405"/>
      <c r="ET67" s="405"/>
      <c r="EU67" s="405"/>
      <c r="EV67" s="405"/>
      <c r="EW67" s="405"/>
      <c r="EX67" s="405"/>
      <c r="EY67" s="405"/>
      <c r="EZ67" s="405"/>
      <c r="FA67" s="405"/>
      <c r="FB67" s="405"/>
      <c r="FC67" s="405"/>
      <c r="FD67" s="405"/>
      <c r="FE67" s="405"/>
      <c r="FF67" s="405"/>
      <c r="FG67" s="405"/>
      <c r="FH67" s="405"/>
      <c r="FI67" s="405"/>
      <c r="FJ67" s="405"/>
      <c r="FK67" s="405"/>
      <c r="FL67" s="405"/>
      <c r="FM67" s="405"/>
      <c r="FN67" s="405"/>
      <c r="FO67" s="405"/>
      <c r="FP67" s="405">
        <f t="shared" si="1"/>
        <v>6500000</v>
      </c>
    </row>
    <row r="68" spans="1:172" ht="27" customHeight="1">
      <c r="A68" s="509" t="s">
        <v>551</v>
      </c>
      <c r="B68" s="399"/>
      <c r="C68" s="233"/>
      <c r="D68" s="26" t="s">
        <v>82</v>
      </c>
      <c r="E68" s="402"/>
      <c r="F68" s="402"/>
      <c r="G68" s="402"/>
      <c r="H68" s="402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H68" s="403"/>
      <c r="AI68" s="403"/>
      <c r="AJ68" s="403"/>
      <c r="AK68" s="403"/>
      <c r="AL68" s="403"/>
      <c r="AM68" s="403"/>
      <c r="AN68" s="403"/>
      <c r="AO68" s="403"/>
      <c r="AP68" s="403"/>
      <c r="AQ68" s="412"/>
      <c r="AR68" s="403"/>
      <c r="AS68" s="403"/>
      <c r="AT68" s="403"/>
      <c r="AU68" s="403"/>
      <c r="AV68" s="403"/>
      <c r="AW68" s="403"/>
      <c r="AX68" s="403"/>
      <c r="AY68" s="403"/>
      <c r="AZ68" s="403"/>
      <c r="BA68" s="403"/>
      <c r="BB68" s="403"/>
      <c r="BC68" s="403"/>
      <c r="BD68" s="403"/>
      <c r="BE68" s="403"/>
      <c r="BF68" s="403"/>
      <c r="BG68" s="403"/>
      <c r="BH68" s="403"/>
      <c r="BI68" s="403"/>
      <c r="BJ68" s="403"/>
      <c r="BK68" s="403"/>
      <c r="BL68" s="403"/>
      <c r="BM68" s="403"/>
      <c r="BN68" s="403"/>
      <c r="BO68" s="403"/>
      <c r="BP68" s="403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  <c r="CJ68" s="403"/>
      <c r="CK68" s="403"/>
      <c r="CL68" s="403"/>
      <c r="CM68" s="403"/>
      <c r="CN68" s="403"/>
      <c r="CO68" s="403"/>
      <c r="CP68" s="403"/>
      <c r="CQ68" s="403"/>
      <c r="CR68" s="403"/>
      <c r="CS68" s="403"/>
      <c r="CT68" s="403"/>
      <c r="CU68" s="404"/>
      <c r="CV68" s="405"/>
      <c r="CW68" s="405"/>
      <c r="CX68" s="405"/>
      <c r="CY68" s="405"/>
      <c r="CZ68" s="405"/>
      <c r="DA68" s="405"/>
      <c r="DB68" s="405"/>
      <c r="DC68" s="405"/>
      <c r="DD68" s="405"/>
      <c r="DE68" s="405"/>
      <c r="DF68" s="405"/>
      <c r="DG68" s="405"/>
      <c r="DH68" s="405"/>
      <c r="DI68" s="405"/>
      <c r="DJ68" s="405"/>
      <c r="DK68" s="405"/>
      <c r="DL68" s="405"/>
      <c r="DM68" s="405"/>
      <c r="DN68" s="405"/>
      <c r="DO68" s="405"/>
      <c r="DP68" s="405"/>
      <c r="DQ68" s="405"/>
      <c r="DR68" s="405"/>
      <c r="DS68" s="405"/>
      <c r="DT68" s="405"/>
      <c r="DU68" s="405"/>
      <c r="DV68" s="405"/>
      <c r="DW68" s="405"/>
      <c r="DX68" s="405"/>
      <c r="DY68" s="405"/>
      <c r="DZ68" s="405"/>
      <c r="EA68" s="405"/>
      <c r="EB68" s="405"/>
      <c r="EC68" s="405"/>
      <c r="ED68" s="405"/>
      <c r="EE68" s="405">
        <v>8170905</v>
      </c>
      <c r="EF68" s="405"/>
      <c r="EG68" s="405"/>
      <c r="EH68" s="405"/>
      <c r="EI68" s="405"/>
      <c r="EJ68" s="405"/>
      <c r="EK68" s="405"/>
      <c r="EL68" s="405"/>
      <c r="EM68" s="405"/>
      <c r="EN68" s="405"/>
      <c r="EO68" s="405"/>
      <c r="EP68" s="405"/>
      <c r="EQ68" s="405"/>
      <c r="ER68" s="405"/>
      <c r="ES68" s="405"/>
      <c r="ET68" s="405"/>
      <c r="EU68" s="405"/>
      <c r="EV68" s="405"/>
      <c r="EW68" s="405"/>
      <c r="EX68" s="405"/>
      <c r="EY68" s="405"/>
      <c r="EZ68" s="405"/>
      <c r="FA68" s="405"/>
      <c r="FB68" s="405"/>
      <c r="FC68" s="405"/>
      <c r="FD68" s="405"/>
      <c r="FE68" s="405"/>
      <c r="FF68" s="405"/>
      <c r="FG68" s="405"/>
      <c r="FH68" s="405"/>
      <c r="FI68" s="405"/>
      <c r="FJ68" s="405"/>
      <c r="FK68" s="405"/>
      <c r="FL68" s="405">
        <v>8170905</v>
      </c>
      <c r="FM68" s="405"/>
      <c r="FN68" s="405"/>
      <c r="FO68" s="405"/>
      <c r="FP68" s="405">
        <f t="shared" si="1"/>
        <v>16341810</v>
      </c>
    </row>
    <row r="69" spans="1:172" ht="27" customHeight="1">
      <c r="A69" s="509" t="s">
        <v>552</v>
      </c>
      <c r="B69" s="399"/>
      <c r="C69" s="233"/>
      <c r="D69" s="26" t="s">
        <v>82</v>
      </c>
      <c r="E69" s="402"/>
      <c r="F69" s="402"/>
      <c r="G69" s="402"/>
      <c r="H69" s="402"/>
      <c r="I69" s="403"/>
      <c r="J69" s="403"/>
      <c r="K69" s="403"/>
      <c r="L69" s="403"/>
      <c r="M69" s="403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403"/>
      <c r="Y69" s="403"/>
      <c r="Z69" s="403"/>
      <c r="AA69" s="403"/>
      <c r="AB69" s="403"/>
      <c r="AC69" s="403"/>
      <c r="AD69" s="403"/>
      <c r="AE69" s="403"/>
      <c r="AF69" s="403"/>
      <c r="AG69" s="403"/>
      <c r="AH69" s="403"/>
      <c r="AI69" s="403"/>
      <c r="AJ69" s="403"/>
      <c r="AK69" s="403"/>
      <c r="AL69" s="403"/>
      <c r="AM69" s="403"/>
      <c r="AN69" s="403"/>
      <c r="AO69" s="403"/>
      <c r="AP69" s="403"/>
      <c r="AQ69" s="412"/>
      <c r="AR69" s="403"/>
      <c r="AS69" s="403"/>
      <c r="AT69" s="403"/>
      <c r="AU69" s="403"/>
      <c r="AV69" s="403"/>
      <c r="AW69" s="403"/>
      <c r="AX69" s="403"/>
      <c r="AY69" s="403"/>
      <c r="AZ69" s="403"/>
      <c r="BA69" s="403"/>
      <c r="BB69" s="403"/>
      <c r="BC69" s="403"/>
      <c r="BD69" s="403"/>
      <c r="BE69" s="403"/>
      <c r="BF69" s="403"/>
      <c r="BG69" s="403"/>
      <c r="BH69" s="403"/>
      <c r="BI69" s="403"/>
      <c r="BJ69" s="403"/>
      <c r="BK69" s="403"/>
      <c r="BL69" s="403"/>
      <c r="BM69" s="403"/>
      <c r="BN69" s="403"/>
      <c r="BO69" s="403"/>
      <c r="BP69" s="403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  <c r="CJ69" s="403"/>
      <c r="CK69" s="403"/>
      <c r="CL69" s="403"/>
      <c r="CM69" s="403"/>
      <c r="CN69" s="403"/>
      <c r="CO69" s="403"/>
      <c r="CP69" s="403"/>
      <c r="CQ69" s="403"/>
      <c r="CR69" s="403"/>
      <c r="CS69" s="403"/>
      <c r="CT69" s="403"/>
      <c r="CU69" s="404"/>
      <c r="CV69" s="405"/>
      <c r="CW69" s="405"/>
      <c r="CX69" s="405"/>
      <c r="CY69" s="405"/>
      <c r="CZ69" s="405"/>
      <c r="DA69" s="405"/>
      <c r="DB69" s="405"/>
      <c r="DC69" s="405"/>
      <c r="DD69" s="405"/>
      <c r="DE69" s="405"/>
      <c r="DF69" s="405"/>
      <c r="DG69" s="405"/>
      <c r="DH69" s="405"/>
      <c r="DI69" s="405"/>
      <c r="DJ69" s="405"/>
      <c r="DK69" s="405"/>
      <c r="DL69" s="405"/>
      <c r="DM69" s="405"/>
      <c r="DN69" s="405"/>
      <c r="DO69" s="405"/>
      <c r="DP69" s="405"/>
      <c r="DQ69" s="405"/>
      <c r="DR69" s="405"/>
      <c r="DS69" s="405"/>
      <c r="DT69" s="405"/>
      <c r="DU69" s="405"/>
      <c r="DV69" s="405"/>
      <c r="DW69" s="405"/>
      <c r="DX69" s="405"/>
      <c r="DY69" s="405"/>
      <c r="DZ69" s="405"/>
      <c r="EA69" s="405"/>
      <c r="EB69" s="405"/>
      <c r="EC69" s="405"/>
      <c r="ED69" s="405"/>
      <c r="EE69" s="405">
        <v>21501882</v>
      </c>
      <c r="EF69" s="405"/>
      <c r="EG69" s="405"/>
      <c r="EH69" s="405"/>
      <c r="EI69" s="405"/>
      <c r="EJ69" s="405"/>
      <c r="EK69" s="405"/>
      <c r="EL69" s="405"/>
      <c r="EM69" s="405"/>
      <c r="EN69" s="405"/>
      <c r="EO69" s="405"/>
      <c r="EP69" s="405"/>
      <c r="EQ69" s="405"/>
      <c r="ER69" s="405"/>
      <c r="ES69" s="405"/>
      <c r="ET69" s="405"/>
      <c r="EU69" s="405"/>
      <c r="EV69" s="405"/>
      <c r="EW69" s="405"/>
      <c r="EX69" s="405"/>
      <c r="EY69" s="405"/>
      <c r="EZ69" s="405"/>
      <c r="FA69" s="405"/>
      <c r="FB69" s="405"/>
      <c r="FC69" s="405"/>
      <c r="FD69" s="405"/>
      <c r="FE69" s="405"/>
      <c r="FF69" s="405"/>
      <c r="FG69" s="405"/>
      <c r="FH69" s="405"/>
      <c r="FI69" s="405"/>
      <c r="FJ69" s="405"/>
      <c r="FK69" s="405"/>
      <c r="FL69" s="405">
        <v>21501882</v>
      </c>
      <c r="FM69" s="405"/>
      <c r="FN69" s="405"/>
      <c r="FO69" s="405"/>
      <c r="FP69" s="405">
        <f t="shared" si="1"/>
        <v>43003764</v>
      </c>
    </row>
    <row r="70" spans="1:172" ht="27" customHeight="1">
      <c r="A70" s="509" t="s">
        <v>553</v>
      </c>
      <c r="B70" s="399"/>
      <c r="C70" s="233"/>
      <c r="D70" s="26" t="s">
        <v>82</v>
      </c>
      <c r="E70" s="402"/>
      <c r="F70" s="402"/>
      <c r="G70" s="402"/>
      <c r="H70" s="402"/>
      <c r="I70" s="403"/>
      <c r="J70" s="403"/>
      <c r="K70" s="403"/>
      <c r="L70" s="403"/>
      <c r="M70" s="403"/>
      <c r="N70" s="403"/>
      <c r="O70" s="403"/>
      <c r="P70" s="403"/>
      <c r="Q70" s="403"/>
      <c r="R70" s="403"/>
      <c r="S70" s="403"/>
      <c r="T70" s="403"/>
      <c r="U70" s="403"/>
      <c r="V70" s="403"/>
      <c r="W70" s="403"/>
      <c r="X70" s="403"/>
      <c r="Y70" s="403"/>
      <c r="Z70" s="403"/>
      <c r="AA70" s="403"/>
      <c r="AB70" s="403"/>
      <c r="AC70" s="403"/>
      <c r="AD70" s="403"/>
      <c r="AE70" s="403"/>
      <c r="AF70" s="403"/>
      <c r="AG70" s="403"/>
      <c r="AH70" s="403"/>
      <c r="AI70" s="403"/>
      <c r="AJ70" s="403"/>
      <c r="AK70" s="403"/>
      <c r="AL70" s="403"/>
      <c r="AM70" s="403"/>
      <c r="AN70" s="403"/>
      <c r="AO70" s="403"/>
      <c r="AP70" s="403"/>
      <c r="AQ70" s="412"/>
      <c r="AR70" s="403"/>
      <c r="AS70" s="403"/>
      <c r="AT70" s="403"/>
      <c r="AU70" s="403"/>
      <c r="AV70" s="403"/>
      <c r="AW70" s="403"/>
      <c r="AX70" s="403"/>
      <c r="AY70" s="403"/>
      <c r="AZ70" s="403"/>
      <c r="BA70" s="403"/>
      <c r="BB70" s="403"/>
      <c r="BC70" s="403"/>
      <c r="BD70" s="403"/>
      <c r="BE70" s="403"/>
      <c r="BF70" s="403"/>
      <c r="BG70" s="403"/>
      <c r="BH70" s="403"/>
      <c r="BI70" s="403"/>
      <c r="BJ70" s="403"/>
      <c r="BK70" s="403"/>
      <c r="BL70" s="403"/>
      <c r="BM70" s="403"/>
      <c r="BN70" s="403"/>
      <c r="BO70" s="403"/>
      <c r="BP70" s="403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  <c r="CJ70" s="403"/>
      <c r="CK70" s="403"/>
      <c r="CL70" s="403"/>
      <c r="CM70" s="403"/>
      <c r="CN70" s="403"/>
      <c r="CO70" s="403"/>
      <c r="CP70" s="403"/>
      <c r="CQ70" s="403"/>
      <c r="CR70" s="403"/>
      <c r="CS70" s="403"/>
      <c r="CT70" s="403"/>
      <c r="CU70" s="404"/>
      <c r="CV70" s="405"/>
      <c r="CW70" s="405"/>
      <c r="CX70" s="405"/>
      <c r="CY70" s="405"/>
      <c r="CZ70" s="405"/>
      <c r="DA70" s="405"/>
      <c r="DB70" s="405"/>
      <c r="DC70" s="405"/>
      <c r="DD70" s="405"/>
      <c r="DE70" s="405"/>
      <c r="DF70" s="405"/>
      <c r="DG70" s="405"/>
      <c r="DH70" s="405"/>
      <c r="DI70" s="405"/>
      <c r="DJ70" s="405"/>
      <c r="DK70" s="405"/>
      <c r="DL70" s="405"/>
      <c r="DM70" s="405"/>
      <c r="DN70" s="405"/>
      <c r="DO70" s="405"/>
      <c r="DP70" s="405"/>
      <c r="DQ70" s="405"/>
      <c r="DR70" s="405"/>
      <c r="DS70" s="405"/>
      <c r="DT70" s="405"/>
      <c r="DU70" s="405"/>
      <c r="DV70" s="405"/>
      <c r="DW70" s="405"/>
      <c r="DX70" s="405"/>
      <c r="DY70" s="405"/>
      <c r="DZ70" s="405"/>
      <c r="EA70" s="405"/>
      <c r="EB70" s="405"/>
      <c r="EC70" s="405"/>
      <c r="ED70" s="405"/>
      <c r="EE70" s="405">
        <v>7853000</v>
      </c>
      <c r="EF70" s="405"/>
      <c r="EG70" s="405"/>
      <c r="EH70" s="405"/>
      <c r="EI70" s="405"/>
      <c r="EJ70" s="405"/>
      <c r="EK70" s="405"/>
      <c r="EL70" s="405"/>
      <c r="EM70" s="405"/>
      <c r="EN70" s="405"/>
      <c r="EO70" s="405"/>
      <c r="EP70" s="405"/>
      <c r="EQ70" s="405"/>
      <c r="ER70" s="405"/>
      <c r="ES70" s="405"/>
      <c r="ET70" s="405"/>
      <c r="EU70" s="405"/>
      <c r="EV70" s="405"/>
      <c r="EW70" s="405"/>
      <c r="EX70" s="405"/>
      <c r="EY70" s="405"/>
      <c r="EZ70" s="405"/>
      <c r="FA70" s="405"/>
      <c r="FB70" s="405"/>
      <c r="FC70" s="405"/>
      <c r="FD70" s="405"/>
      <c r="FE70" s="405"/>
      <c r="FF70" s="405"/>
      <c r="FG70" s="405"/>
      <c r="FH70" s="405"/>
      <c r="FI70" s="405"/>
      <c r="FJ70" s="405"/>
      <c r="FK70" s="405"/>
      <c r="FL70" s="405">
        <v>7853000</v>
      </c>
      <c r="FM70" s="405"/>
      <c r="FN70" s="405"/>
      <c r="FO70" s="405"/>
      <c r="FP70" s="405">
        <f t="shared" si="1"/>
        <v>15706000</v>
      </c>
    </row>
    <row r="71" spans="1:172" ht="27" customHeight="1">
      <c r="A71" s="509" t="s">
        <v>554</v>
      </c>
      <c r="B71" s="399"/>
      <c r="C71" s="233"/>
      <c r="D71" s="26" t="s">
        <v>82</v>
      </c>
      <c r="E71" s="402"/>
      <c r="F71" s="402"/>
      <c r="G71" s="402"/>
      <c r="H71" s="402"/>
      <c r="I71" s="403"/>
      <c r="J71" s="403"/>
      <c r="K71" s="403"/>
      <c r="L71" s="403"/>
      <c r="M71" s="403"/>
      <c r="N71" s="403"/>
      <c r="O71" s="403"/>
      <c r="P71" s="403"/>
      <c r="Q71" s="403"/>
      <c r="R71" s="403"/>
      <c r="S71" s="403"/>
      <c r="T71" s="403"/>
      <c r="U71" s="403"/>
      <c r="V71" s="403"/>
      <c r="W71" s="403"/>
      <c r="X71" s="403"/>
      <c r="Y71" s="403"/>
      <c r="Z71" s="403"/>
      <c r="AA71" s="403"/>
      <c r="AB71" s="403"/>
      <c r="AC71" s="403"/>
      <c r="AD71" s="403"/>
      <c r="AE71" s="403"/>
      <c r="AF71" s="403"/>
      <c r="AG71" s="403"/>
      <c r="AH71" s="403"/>
      <c r="AI71" s="403"/>
      <c r="AJ71" s="403"/>
      <c r="AK71" s="403"/>
      <c r="AL71" s="403"/>
      <c r="AM71" s="403"/>
      <c r="AN71" s="403"/>
      <c r="AO71" s="403"/>
      <c r="AP71" s="403"/>
      <c r="AQ71" s="412"/>
      <c r="AR71" s="403"/>
      <c r="AS71" s="403"/>
      <c r="AT71" s="403"/>
      <c r="AU71" s="403"/>
      <c r="AV71" s="403"/>
      <c r="AW71" s="403"/>
      <c r="AX71" s="403"/>
      <c r="AY71" s="403"/>
      <c r="AZ71" s="403"/>
      <c r="BA71" s="403"/>
      <c r="BB71" s="403"/>
      <c r="BC71" s="403"/>
      <c r="BD71" s="403"/>
      <c r="BE71" s="403"/>
      <c r="BF71" s="403"/>
      <c r="BG71" s="403"/>
      <c r="BH71" s="403"/>
      <c r="BI71" s="403"/>
      <c r="BJ71" s="403"/>
      <c r="BK71" s="403"/>
      <c r="BL71" s="403"/>
      <c r="BM71" s="403"/>
      <c r="BN71" s="403"/>
      <c r="BO71" s="403"/>
      <c r="BP71" s="403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  <c r="CJ71" s="403"/>
      <c r="CK71" s="403"/>
      <c r="CL71" s="403"/>
      <c r="CM71" s="403"/>
      <c r="CN71" s="403"/>
      <c r="CO71" s="403"/>
      <c r="CP71" s="403"/>
      <c r="CQ71" s="403"/>
      <c r="CR71" s="403"/>
      <c r="CS71" s="403"/>
      <c r="CT71" s="403"/>
      <c r="CU71" s="404"/>
      <c r="CV71" s="405"/>
      <c r="CW71" s="405"/>
      <c r="CX71" s="405"/>
      <c r="CY71" s="405"/>
      <c r="CZ71" s="405"/>
      <c r="DA71" s="405"/>
      <c r="DB71" s="405"/>
      <c r="DC71" s="405"/>
      <c r="DD71" s="405"/>
      <c r="DE71" s="405"/>
      <c r="DF71" s="405"/>
      <c r="DG71" s="405"/>
      <c r="DH71" s="405"/>
      <c r="DI71" s="405"/>
      <c r="DJ71" s="405"/>
      <c r="DK71" s="405"/>
      <c r="DL71" s="405"/>
      <c r="DM71" s="405"/>
      <c r="DN71" s="405"/>
      <c r="DO71" s="405"/>
      <c r="DP71" s="405"/>
      <c r="DQ71" s="405"/>
      <c r="DR71" s="405"/>
      <c r="DS71" s="405"/>
      <c r="DT71" s="405"/>
      <c r="DU71" s="405"/>
      <c r="DV71" s="405"/>
      <c r="DW71" s="405"/>
      <c r="DX71" s="405"/>
      <c r="DY71" s="405"/>
      <c r="DZ71" s="405"/>
      <c r="EA71" s="405"/>
      <c r="EB71" s="405"/>
      <c r="EC71" s="405"/>
      <c r="ED71" s="405"/>
      <c r="EE71" s="405">
        <v>9389430</v>
      </c>
      <c r="EF71" s="405"/>
      <c r="EG71" s="405"/>
      <c r="EH71" s="405"/>
      <c r="EI71" s="405"/>
      <c r="EJ71" s="405"/>
      <c r="EK71" s="405"/>
      <c r="EL71" s="405"/>
      <c r="EM71" s="405"/>
      <c r="EN71" s="405"/>
      <c r="EO71" s="405"/>
      <c r="EP71" s="405"/>
      <c r="EQ71" s="405"/>
      <c r="ER71" s="405"/>
      <c r="ES71" s="405"/>
      <c r="ET71" s="405"/>
      <c r="EU71" s="405"/>
      <c r="EV71" s="405"/>
      <c r="EW71" s="405"/>
      <c r="EX71" s="405"/>
      <c r="EY71" s="405"/>
      <c r="EZ71" s="405"/>
      <c r="FA71" s="405"/>
      <c r="FB71" s="405"/>
      <c r="FC71" s="405"/>
      <c r="FD71" s="405"/>
      <c r="FE71" s="405"/>
      <c r="FF71" s="405"/>
      <c r="FG71" s="405"/>
      <c r="FH71" s="405"/>
      <c r="FI71" s="405"/>
      <c r="FJ71" s="405"/>
      <c r="FK71" s="405"/>
      <c r="FL71" s="405">
        <v>9389430</v>
      </c>
      <c r="FM71" s="405"/>
      <c r="FN71" s="405"/>
      <c r="FO71" s="405"/>
      <c r="FP71" s="405">
        <f t="shared" si="1"/>
        <v>18778860</v>
      </c>
    </row>
    <row r="72" spans="1:172" ht="27" customHeight="1">
      <c r="A72" s="509" t="s">
        <v>555</v>
      </c>
      <c r="B72" s="399"/>
      <c r="C72" s="233"/>
      <c r="D72" s="26" t="s">
        <v>82</v>
      </c>
      <c r="E72" s="402"/>
      <c r="F72" s="402"/>
      <c r="G72" s="402"/>
      <c r="H72" s="402"/>
      <c r="I72" s="403"/>
      <c r="J72" s="403"/>
      <c r="K72" s="403"/>
      <c r="L72" s="403"/>
      <c r="M72" s="403"/>
      <c r="N72" s="403"/>
      <c r="O72" s="403"/>
      <c r="P72" s="403"/>
      <c r="Q72" s="403"/>
      <c r="R72" s="403"/>
      <c r="S72" s="403"/>
      <c r="T72" s="403"/>
      <c r="U72" s="403"/>
      <c r="V72" s="403"/>
      <c r="W72" s="403"/>
      <c r="X72" s="403"/>
      <c r="Y72" s="403"/>
      <c r="Z72" s="403"/>
      <c r="AA72" s="403"/>
      <c r="AB72" s="403"/>
      <c r="AC72" s="403"/>
      <c r="AD72" s="403"/>
      <c r="AE72" s="403"/>
      <c r="AF72" s="403"/>
      <c r="AG72" s="403"/>
      <c r="AH72" s="403"/>
      <c r="AI72" s="403"/>
      <c r="AJ72" s="403"/>
      <c r="AK72" s="403"/>
      <c r="AL72" s="403"/>
      <c r="AM72" s="403"/>
      <c r="AN72" s="403"/>
      <c r="AO72" s="403"/>
      <c r="AP72" s="403"/>
      <c r="AQ72" s="412"/>
      <c r="AR72" s="403"/>
      <c r="AS72" s="403"/>
      <c r="AT72" s="403"/>
      <c r="AU72" s="403"/>
      <c r="AV72" s="403"/>
      <c r="AW72" s="403"/>
      <c r="AX72" s="403"/>
      <c r="AY72" s="403"/>
      <c r="AZ72" s="403"/>
      <c r="BA72" s="403"/>
      <c r="BB72" s="403"/>
      <c r="BC72" s="403"/>
      <c r="BD72" s="403"/>
      <c r="BE72" s="403"/>
      <c r="BF72" s="403"/>
      <c r="BG72" s="403"/>
      <c r="BH72" s="403"/>
      <c r="BI72" s="403"/>
      <c r="BJ72" s="403"/>
      <c r="BK72" s="403"/>
      <c r="BL72" s="403"/>
      <c r="BM72" s="403"/>
      <c r="BN72" s="403"/>
      <c r="BO72" s="403"/>
      <c r="BP72" s="403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  <c r="CJ72" s="403"/>
      <c r="CK72" s="403"/>
      <c r="CL72" s="403"/>
      <c r="CM72" s="403"/>
      <c r="CN72" s="403"/>
      <c r="CO72" s="403"/>
      <c r="CP72" s="403"/>
      <c r="CQ72" s="403"/>
      <c r="CR72" s="403"/>
      <c r="CS72" s="403"/>
      <c r="CT72" s="403"/>
      <c r="CU72" s="404"/>
      <c r="CV72" s="405"/>
      <c r="CW72" s="405"/>
      <c r="CX72" s="405"/>
      <c r="CY72" s="405"/>
      <c r="CZ72" s="405"/>
      <c r="DA72" s="405"/>
      <c r="DB72" s="405"/>
      <c r="DC72" s="405"/>
      <c r="DD72" s="405"/>
      <c r="DE72" s="405"/>
      <c r="DF72" s="405"/>
      <c r="DG72" s="405"/>
      <c r="DH72" s="405"/>
      <c r="DI72" s="405"/>
      <c r="DJ72" s="405"/>
      <c r="DK72" s="405"/>
      <c r="DL72" s="405"/>
      <c r="DM72" s="405"/>
      <c r="DN72" s="405"/>
      <c r="DO72" s="405"/>
      <c r="DP72" s="405"/>
      <c r="DQ72" s="405"/>
      <c r="DR72" s="405"/>
      <c r="DS72" s="405"/>
      <c r="DT72" s="405"/>
      <c r="DU72" s="405"/>
      <c r="DV72" s="405"/>
      <c r="DW72" s="405"/>
      <c r="DX72" s="405"/>
      <c r="DY72" s="405"/>
      <c r="DZ72" s="405"/>
      <c r="EA72" s="405"/>
      <c r="EB72" s="405"/>
      <c r="EC72" s="405"/>
      <c r="ED72" s="405"/>
      <c r="EE72" s="405">
        <v>600000</v>
      </c>
      <c r="EF72" s="405"/>
      <c r="EG72" s="405"/>
      <c r="EH72" s="405"/>
      <c r="EI72" s="405"/>
      <c r="EJ72" s="405"/>
      <c r="EK72" s="405"/>
      <c r="EL72" s="405"/>
      <c r="EM72" s="405"/>
      <c r="EN72" s="405"/>
      <c r="EO72" s="405"/>
      <c r="EP72" s="405"/>
      <c r="EQ72" s="405"/>
      <c r="ER72" s="405"/>
      <c r="ES72" s="405"/>
      <c r="ET72" s="405"/>
      <c r="EU72" s="405"/>
      <c r="EV72" s="405"/>
      <c r="EW72" s="405"/>
      <c r="EX72" s="405"/>
      <c r="EY72" s="405"/>
      <c r="EZ72" s="405"/>
      <c r="FA72" s="405"/>
      <c r="FB72" s="405"/>
      <c r="FC72" s="405"/>
      <c r="FD72" s="405"/>
      <c r="FE72" s="405"/>
      <c r="FF72" s="405"/>
      <c r="FG72" s="405"/>
      <c r="FH72" s="405"/>
      <c r="FI72" s="405"/>
      <c r="FJ72" s="405"/>
      <c r="FK72" s="405"/>
      <c r="FL72" s="405">
        <v>600000</v>
      </c>
      <c r="FM72" s="405"/>
      <c r="FN72" s="405"/>
      <c r="FO72" s="405"/>
      <c r="FP72" s="405">
        <f t="shared" si="1"/>
        <v>1200000</v>
      </c>
    </row>
    <row r="73" spans="1:172" ht="27" customHeight="1">
      <c r="A73" s="509" t="s">
        <v>556</v>
      </c>
      <c r="B73" s="399"/>
      <c r="C73" s="233"/>
      <c r="D73" s="26" t="s">
        <v>82</v>
      </c>
      <c r="E73" s="402"/>
      <c r="F73" s="402"/>
      <c r="G73" s="402"/>
      <c r="H73" s="402"/>
      <c r="I73" s="403"/>
      <c r="J73" s="403"/>
      <c r="K73" s="403"/>
      <c r="L73" s="403"/>
      <c r="M73" s="403"/>
      <c r="N73" s="403"/>
      <c r="O73" s="403"/>
      <c r="P73" s="403"/>
      <c r="Q73" s="403"/>
      <c r="R73" s="403"/>
      <c r="S73" s="403"/>
      <c r="T73" s="403"/>
      <c r="U73" s="403"/>
      <c r="V73" s="403"/>
      <c r="W73" s="403"/>
      <c r="X73" s="403"/>
      <c r="Y73" s="403"/>
      <c r="Z73" s="403"/>
      <c r="AA73" s="403"/>
      <c r="AB73" s="403"/>
      <c r="AC73" s="403"/>
      <c r="AD73" s="403"/>
      <c r="AE73" s="403"/>
      <c r="AF73" s="403"/>
      <c r="AG73" s="403"/>
      <c r="AH73" s="403"/>
      <c r="AI73" s="403"/>
      <c r="AJ73" s="403"/>
      <c r="AK73" s="403"/>
      <c r="AL73" s="403"/>
      <c r="AM73" s="403"/>
      <c r="AN73" s="403"/>
      <c r="AO73" s="403"/>
      <c r="AP73" s="403"/>
      <c r="AQ73" s="412"/>
      <c r="AR73" s="403"/>
      <c r="AS73" s="403"/>
      <c r="AT73" s="403"/>
      <c r="AU73" s="403"/>
      <c r="AV73" s="403"/>
      <c r="AW73" s="403"/>
      <c r="AX73" s="403"/>
      <c r="AY73" s="403"/>
      <c r="AZ73" s="403"/>
      <c r="BA73" s="403"/>
      <c r="BB73" s="403"/>
      <c r="BC73" s="403"/>
      <c r="BD73" s="403"/>
      <c r="BE73" s="403"/>
      <c r="BF73" s="403"/>
      <c r="BG73" s="403"/>
      <c r="BH73" s="403"/>
      <c r="BI73" s="403"/>
      <c r="BJ73" s="403"/>
      <c r="BK73" s="403"/>
      <c r="BL73" s="403"/>
      <c r="BM73" s="403"/>
      <c r="BN73" s="403"/>
      <c r="BO73" s="403"/>
      <c r="BP73" s="403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  <c r="CJ73" s="403"/>
      <c r="CK73" s="403"/>
      <c r="CL73" s="403"/>
      <c r="CM73" s="403"/>
      <c r="CN73" s="403"/>
      <c r="CO73" s="403"/>
      <c r="CP73" s="403"/>
      <c r="CQ73" s="403"/>
      <c r="CR73" s="403"/>
      <c r="CS73" s="403"/>
      <c r="CT73" s="403"/>
      <c r="CU73" s="404"/>
      <c r="CV73" s="405"/>
      <c r="CW73" s="405"/>
      <c r="CX73" s="405"/>
      <c r="CY73" s="405"/>
      <c r="CZ73" s="405"/>
      <c r="DA73" s="405"/>
      <c r="DB73" s="405"/>
      <c r="DC73" s="405"/>
      <c r="DD73" s="405"/>
      <c r="DE73" s="405"/>
      <c r="DF73" s="405"/>
      <c r="DG73" s="405"/>
      <c r="DH73" s="405"/>
      <c r="DI73" s="405"/>
      <c r="DJ73" s="405"/>
      <c r="DK73" s="405"/>
      <c r="DL73" s="405"/>
      <c r="DM73" s="405"/>
      <c r="DN73" s="405"/>
      <c r="DO73" s="405"/>
      <c r="DP73" s="405"/>
      <c r="DQ73" s="405"/>
      <c r="DR73" s="405"/>
      <c r="DS73" s="405"/>
      <c r="DT73" s="405"/>
      <c r="DU73" s="405"/>
      <c r="DV73" s="405"/>
      <c r="DW73" s="405"/>
      <c r="DX73" s="405"/>
      <c r="DY73" s="405"/>
      <c r="DZ73" s="405"/>
      <c r="EA73" s="405"/>
      <c r="EB73" s="405"/>
      <c r="EC73" s="405"/>
      <c r="ED73" s="405"/>
      <c r="EE73" s="405">
        <v>948717</v>
      </c>
      <c r="EF73" s="405"/>
      <c r="EG73" s="405"/>
      <c r="EH73" s="405"/>
      <c r="EI73" s="405"/>
      <c r="EJ73" s="405"/>
      <c r="EK73" s="405"/>
      <c r="EL73" s="405"/>
      <c r="EM73" s="405"/>
      <c r="EN73" s="405"/>
      <c r="EO73" s="405"/>
      <c r="EP73" s="405"/>
      <c r="EQ73" s="405"/>
      <c r="ER73" s="405"/>
      <c r="ES73" s="405"/>
      <c r="ET73" s="405"/>
      <c r="EU73" s="405"/>
      <c r="EV73" s="405"/>
      <c r="EW73" s="405"/>
      <c r="EX73" s="405"/>
      <c r="EY73" s="405"/>
      <c r="EZ73" s="405"/>
      <c r="FA73" s="405"/>
      <c r="FB73" s="405"/>
      <c r="FC73" s="405"/>
      <c r="FD73" s="405"/>
      <c r="FE73" s="405"/>
      <c r="FF73" s="405"/>
      <c r="FG73" s="405"/>
      <c r="FH73" s="405"/>
      <c r="FI73" s="405"/>
      <c r="FJ73" s="405"/>
      <c r="FK73" s="405"/>
      <c r="FL73" s="405">
        <v>948717</v>
      </c>
      <c r="FM73" s="405"/>
      <c r="FN73" s="405"/>
      <c r="FO73" s="405"/>
      <c r="FP73" s="405">
        <f t="shared" si="1"/>
        <v>1897434</v>
      </c>
    </row>
    <row r="74" spans="1:172" ht="27" customHeight="1">
      <c r="A74" s="509" t="s">
        <v>557</v>
      </c>
      <c r="B74" s="399"/>
      <c r="C74" s="233"/>
      <c r="D74" s="26" t="s">
        <v>82</v>
      </c>
      <c r="E74" s="402"/>
      <c r="F74" s="402"/>
      <c r="G74" s="402"/>
      <c r="H74" s="402"/>
      <c r="I74" s="403"/>
      <c r="J74" s="403"/>
      <c r="K74" s="403"/>
      <c r="L74" s="403"/>
      <c r="M74" s="403"/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403"/>
      <c r="Y74" s="403"/>
      <c r="Z74" s="403"/>
      <c r="AA74" s="403"/>
      <c r="AB74" s="403"/>
      <c r="AC74" s="403"/>
      <c r="AD74" s="403"/>
      <c r="AE74" s="403"/>
      <c r="AF74" s="403"/>
      <c r="AG74" s="403"/>
      <c r="AH74" s="403"/>
      <c r="AI74" s="403"/>
      <c r="AJ74" s="403"/>
      <c r="AK74" s="403"/>
      <c r="AL74" s="403"/>
      <c r="AM74" s="403"/>
      <c r="AN74" s="403"/>
      <c r="AO74" s="403"/>
      <c r="AP74" s="403"/>
      <c r="AQ74" s="412"/>
      <c r="AR74" s="403"/>
      <c r="AS74" s="403"/>
      <c r="AT74" s="403"/>
      <c r="AU74" s="403"/>
      <c r="AV74" s="403"/>
      <c r="AW74" s="403"/>
      <c r="AX74" s="403"/>
      <c r="AY74" s="403"/>
      <c r="AZ74" s="403"/>
      <c r="BA74" s="403"/>
      <c r="BB74" s="403"/>
      <c r="BC74" s="403"/>
      <c r="BD74" s="403"/>
      <c r="BE74" s="403"/>
      <c r="BF74" s="403"/>
      <c r="BG74" s="403"/>
      <c r="BH74" s="403"/>
      <c r="BI74" s="403"/>
      <c r="BJ74" s="403"/>
      <c r="BK74" s="403"/>
      <c r="BL74" s="403"/>
      <c r="BM74" s="403"/>
      <c r="BN74" s="403"/>
      <c r="BO74" s="403"/>
      <c r="BP74" s="403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  <c r="CJ74" s="403"/>
      <c r="CK74" s="403"/>
      <c r="CL74" s="403"/>
      <c r="CM74" s="403"/>
      <c r="CN74" s="403"/>
      <c r="CO74" s="403"/>
      <c r="CP74" s="403"/>
      <c r="CQ74" s="403"/>
      <c r="CR74" s="403"/>
      <c r="CS74" s="403"/>
      <c r="CT74" s="403"/>
      <c r="CU74" s="404"/>
      <c r="CV74" s="405"/>
      <c r="CW74" s="405"/>
      <c r="CX74" s="405"/>
      <c r="CY74" s="405"/>
      <c r="CZ74" s="405"/>
      <c r="DA74" s="405"/>
      <c r="DB74" s="405"/>
      <c r="DC74" s="405"/>
      <c r="DD74" s="405"/>
      <c r="DE74" s="405"/>
      <c r="DF74" s="405"/>
      <c r="DG74" s="405"/>
      <c r="DH74" s="405"/>
      <c r="DI74" s="405"/>
      <c r="DJ74" s="405"/>
      <c r="DK74" s="405"/>
      <c r="DL74" s="405"/>
      <c r="DM74" s="405"/>
      <c r="DN74" s="405"/>
      <c r="DO74" s="405"/>
      <c r="DP74" s="405"/>
      <c r="DQ74" s="405"/>
      <c r="DR74" s="405"/>
      <c r="DS74" s="405"/>
      <c r="DT74" s="405"/>
      <c r="DU74" s="405"/>
      <c r="DV74" s="405"/>
      <c r="DW74" s="405"/>
      <c r="DX74" s="405"/>
      <c r="DY74" s="405"/>
      <c r="DZ74" s="405"/>
      <c r="EA74" s="405"/>
      <c r="EB74" s="405"/>
      <c r="EC74" s="405"/>
      <c r="ED74" s="405"/>
      <c r="EE74" s="405">
        <v>7750000</v>
      </c>
      <c r="EF74" s="405"/>
      <c r="EG74" s="405"/>
      <c r="EH74" s="405"/>
      <c r="EI74" s="405"/>
      <c r="EJ74" s="405"/>
      <c r="EK74" s="405"/>
      <c r="EL74" s="405"/>
      <c r="EM74" s="405"/>
      <c r="EN74" s="405"/>
      <c r="EO74" s="405"/>
      <c r="EP74" s="405"/>
      <c r="EQ74" s="405"/>
      <c r="ER74" s="405"/>
      <c r="ES74" s="405"/>
      <c r="ET74" s="405"/>
      <c r="EU74" s="405"/>
      <c r="EV74" s="405"/>
      <c r="EW74" s="405"/>
      <c r="EX74" s="405"/>
      <c r="EY74" s="405"/>
      <c r="EZ74" s="405"/>
      <c r="FA74" s="405"/>
      <c r="FB74" s="405"/>
      <c r="FC74" s="405"/>
      <c r="FD74" s="405"/>
      <c r="FE74" s="405"/>
      <c r="FF74" s="405"/>
      <c r="FG74" s="405"/>
      <c r="FH74" s="405"/>
      <c r="FI74" s="405"/>
      <c r="FJ74" s="405"/>
      <c r="FK74" s="405"/>
      <c r="FL74" s="405">
        <v>7750000</v>
      </c>
      <c r="FM74" s="405"/>
      <c r="FN74" s="405"/>
      <c r="FO74" s="405"/>
      <c r="FP74" s="405">
        <f t="shared" si="1"/>
        <v>15500000</v>
      </c>
    </row>
    <row r="75" spans="1:172" ht="27" customHeight="1">
      <c r="A75" s="509" t="s">
        <v>558</v>
      </c>
      <c r="B75" s="399"/>
      <c r="C75" s="233"/>
      <c r="D75" s="26" t="s">
        <v>82</v>
      </c>
      <c r="E75" s="402"/>
      <c r="F75" s="402"/>
      <c r="G75" s="402"/>
      <c r="H75" s="402"/>
      <c r="I75" s="403"/>
      <c r="J75" s="403"/>
      <c r="K75" s="403"/>
      <c r="L75" s="403"/>
      <c r="M75" s="403"/>
      <c r="N75" s="403"/>
      <c r="O75" s="403"/>
      <c r="P75" s="403"/>
      <c r="Q75" s="403"/>
      <c r="R75" s="403"/>
      <c r="S75" s="403"/>
      <c r="T75" s="403"/>
      <c r="U75" s="403"/>
      <c r="V75" s="403"/>
      <c r="W75" s="403"/>
      <c r="X75" s="403"/>
      <c r="Y75" s="403"/>
      <c r="Z75" s="403"/>
      <c r="AA75" s="403"/>
      <c r="AB75" s="403"/>
      <c r="AC75" s="403"/>
      <c r="AD75" s="403"/>
      <c r="AE75" s="403"/>
      <c r="AF75" s="403"/>
      <c r="AG75" s="403"/>
      <c r="AH75" s="403"/>
      <c r="AI75" s="403"/>
      <c r="AJ75" s="403"/>
      <c r="AK75" s="403"/>
      <c r="AL75" s="403"/>
      <c r="AM75" s="403"/>
      <c r="AN75" s="403"/>
      <c r="AO75" s="403"/>
      <c r="AP75" s="403"/>
      <c r="AQ75" s="412"/>
      <c r="AR75" s="403"/>
      <c r="AS75" s="403"/>
      <c r="AT75" s="403"/>
      <c r="AU75" s="403"/>
      <c r="AV75" s="403"/>
      <c r="AW75" s="403"/>
      <c r="AX75" s="403"/>
      <c r="AY75" s="403"/>
      <c r="AZ75" s="403"/>
      <c r="BA75" s="403"/>
      <c r="BB75" s="403"/>
      <c r="BC75" s="403"/>
      <c r="BD75" s="403"/>
      <c r="BE75" s="403"/>
      <c r="BF75" s="403"/>
      <c r="BG75" s="403"/>
      <c r="BH75" s="403"/>
      <c r="BI75" s="403"/>
      <c r="BJ75" s="403"/>
      <c r="BK75" s="403"/>
      <c r="BL75" s="403"/>
      <c r="BM75" s="403"/>
      <c r="BN75" s="403"/>
      <c r="BO75" s="403"/>
      <c r="BP75" s="403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  <c r="CJ75" s="403"/>
      <c r="CK75" s="403"/>
      <c r="CL75" s="403"/>
      <c r="CM75" s="403"/>
      <c r="CN75" s="403"/>
      <c r="CO75" s="403"/>
      <c r="CP75" s="403"/>
      <c r="CQ75" s="403"/>
      <c r="CR75" s="403"/>
      <c r="CS75" s="403"/>
      <c r="CT75" s="403"/>
      <c r="CU75" s="404"/>
      <c r="CV75" s="405"/>
      <c r="CW75" s="405"/>
      <c r="CX75" s="405"/>
      <c r="CY75" s="405"/>
      <c r="CZ75" s="405"/>
      <c r="DA75" s="405"/>
      <c r="DB75" s="405"/>
      <c r="DC75" s="405"/>
      <c r="DD75" s="405"/>
      <c r="DE75" s="405"/>
      <c r="DF75" s="405"/>
      <c r="DG75" s="405"/>
      <c r="DH75" s="405"/>
      <c r="DI75" s="405"/>
      <c r="DJ75" s="405"/>
      <c r="DK75" s="405"/>
      <c r="DL75" s="405"/>
      <c r="DM75" s="405"/>
      <c r="DN75" s="405"/>
      <c r="DO75" s="405"/>
      <c r="DP75" s="405"/>
      <c r="DQ75" s="405"/>
      <c r="DR75" s="405"/>
      <c r="DS75" s="405"/>
      <c r="DT75" s="405"/>
      <c r="DU75" s="405"/>
      <c r="DV75" s="405"/>
      <c r="DW75" s="405"/>
      <c r="DX75" s="405"/>
      <c r="DY75" s="405"/>
      <c r="DZ75" s="405"/>
      <c r="EA75" s="405"/>
      <c r="EB75" s="405"/>
      <c r="EC75" s="405"/>
      <c r="ED75" s="405"/>
      <c r="EE75" s="405">
        <v>3076923</v>
      </c>
      <c r="EF75" s="405"/>
      <c r="EG75" s="405"/>
      <c r="EH75" s="405"/>
      <c r="EI75" s="405"/>
      <c r="EJ75" s="405"/>
      <c r="EK75" s="405"/>
      <c r="EL75" s="405"/>
      <c r="EM75" s="405"/>
      <c r="EN75" s="405"/>
      <c r="EO75" s="405"/>
      <c r="EP75" s="405"/>
      <c r="EQ75" s="405"/>
      <c r="ER75" s="405"/>
      <c r="ES75" s="405"/>
      <c r="ET75" s="405"/>
      <c r="EU75" s="405"/>
      <c r="EV75" s="405"/>
      <c r="EW75" s="405"/>
      <c r="EX75" s="405"/>
      <c r="EY75" s="405"/>
      <c r="EZ75" s="405"/>
      <c r="FA75" s="405"/>
      <c r="FB75" s="405"/>
      <c r="FC75" s="405"/>
      <c r="FD75" s="405"/>
      <c r="FE75" s="405"/>
      <c r="FF75" s="405"/>
      <c r="FG75" s="405"/>
      <c r="FH75" s="405"/>
      <c r="FI75" s="405"/>
      <c r="FJ75" s="405"/>
      <c r="FK75" s="405"/>
      <c r="FL75" s="405">
        <v>3076923</v>
      </c>
      <c r="FM75" s="405"/>
      <c r="FN75" s="405"/>
      <c r="FO75" s="405"/>
      <c r="FP75" s="405">
        <f t="shared" si="1"/>
        <v>6153846</v>
      </c>
    </row>
    <row r="76" spans="1:172" ht="27" customHeight="1">
      <c r="A76" s="509" t="s">
        <v>559</v>
      </c>
      <c r="B76" s="399"/>
      <c r="C76" s="233"/>
      <c r="D76" s="26" t="s">
        <v>82</v>
      </c>
      <c r="E76" s="402"/>
      <c r="F76" s="402"/>
      <c r="G76" s="402"/>
      <c r="H76" s="402"/>
      <c r="I76" s="403"/>
      <c r="J76" s="403"/>
      <c r="K76" s="403"/>
      <c r="L76" s="403"/>
      <c r="M76" s="403"/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  <c r="AA76" s="403"/>
      <c r="AB76" s="403"/>
      <c r="AC76" s="403"/>
      <c r="AD76" s="403"/>
      <c r="AE76" s="403"/>
      <c r="AF76" s="403"/>
      <c r="AG76" s="403"/>
      <c r="AH76" s="403"/>
      <c r="AI76" s="403"/>
      <c r="AJ76" s="403"/>
      <c r="AK76" s="403"/>
      <c r="AL76" s="403"/>
      <c r="AM76" s="403"/>
      <c r="AN76" s="403"/>
      <c r="AO76" s="403"/>
      <c r="AP76" s="403"/>
      <c r="AQ76" s="412"/>
      <c r="AR76" s="403"/>
      <c r="AS76" s="403"/>
      <c r="AT76" s="403"/>
      <c r="AU76" s="403"/>
      <c r="AV76" s="403"/>
      <c r="AW76" s="403"/>
      <c r="AX76" s="403"/>
      <c r="AY76" s="403"/>
      <c r="AZ76" s="403"/>
      <c r="BA76" s="403"/>
      <c r="BB76" s="403"/>
      <c r="BC76" s="403"/>
      <c r="BD76" s="403"/>
      <c r="BE76" s="403"/>
      <c r="BF76" s="403"/>
      <c r="BG76" s="403"/>
      <c r="BH76" s="403"/>
      <c r="BI76" s="403"/>
      <c r="BJ76" s="403"/>
      <c r="BK76" s="403"/>
      <c r="BL76" s="403"/>
      <c r="BM76" s="403"/>
      <c r="BN76" s="403"/>
      <c r="BO76" s="403"/>
      <c r="BP76" s="403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  <c r="CJ76" s="403"/>
      <c r="CK76" s="403"/>
      <c r="CL76" s="403"/>
      <c r="CM76" s="403"/>
      <c r="CN76" s="403"/>
      <c r="CO76" s="403"/>
      <c r="CP76" s="403"/>
      <c r="CQ76" s="403"/>
      <c r="CR76" s="403"/>
      <c r="CS76" s="403"/>
      <c r="CT76" s="403"/>
      <c r="CU76" s="404"/>
      <c r="CV76" s="405"/>
      <c r="CW76" s="405"/>
      <c r="CX76" s="405"/>
      <c r="CY76" s="405"/>
      <c r="CZ76" s="405"/>
      <c r="DA76" s="405"/>
      <c r="DB76" s="405"/>
      <c r="DC76" s="405"/>
      <c r="DD76" s="405"/>
      <c r="DE76" s="405"/>
      <c r="DF76" s="405"/>
      <c r="DG76" s="405"/>
      <c r="DH76" s="405"/>
      <c r="DI76" s="405"/>
      <c r="DJ76" s="405"/>
      <c r="DK76" s="405"/>
      <c r="DL76" s="405"/>
      <c r="DM76" s="405"/>
      <c r="DN76" s="405"/>
      <c r="DO76" s="405"/>
      <c r="DP76" s="405"/>
      <c r="DQ76" s="405"/>
      <c r="DR76" s="405"/>
      <c r="DS76" s="405"/>
      <c r="DT76" s="405"/>
      <c r="DU76" s="405"/>
      <c r="DV76" s="405"/>
      <c r="DW76" s="405"/>
      <c r="DX76" s="405"/>
      <c r="DY76" s="405"/>
      <c r="DZ76" s="405"/>
      <c r="EA76" s="405"/>
      <c r="EB76" s="405"/>
      <c r="EC76" s="405"/>
      <c r="ED76" s="405"/>
      <c r="EE76" s="405">
        <v>4591837</v>
      </c>
      <c r="EF76" s="405"/>
      <c r="EG76" s="405"/>
      <c r="EH76" s="405"/>
      <c r="EI76" s="405"/>
      <c r="EJ76" s="405"/>
      <c r="EK76" s="405"/>
      <c r="EL76" s="405"/>
      <c r="EM76" s="405"/>
      <c r="EN76" s="405"/>
      <c r="EO76" s="405"/>
      <c r="EP76" s="405"/>
      <c r="EQ76" s="405"/>
      <c r="ER76" s="405"/>
      <c r="ES76" s="405"/>
      <c r="ET76" s="405"/>
      <c r="EU76" s="405"/>
      <c r="EV76" s="405"/>
      <c r="EW76" s="405"/>
      <c r="EX76" s="405"/>
      <c r="EY76" s="405"/>
      <c r="EZ76" s="405"/>
      <c r="FA76" s="405"/>
      <c r="FB76" s="405"/>
      <c r="FC76" s="405"/>
      <c r="FD76" s="405"/>
      <c r="FE76" s="405"/>
      <c r="FF76" s="405"/>
      <c r="FG76" s="405"/>
      <c r="FH76" s="405"/>
      <c r="FI76" s="405"/>
      <c r="FJ76" s="405"/>
      <c r="FK76" s="405"/>
      <c r="FL76" s="405">
        <v>4591837</v>
      </c>
      <c r="FM76" s="405"/>
      <c r="FN76" s="405"/>
      <c r="FO76" s="405"/>
      <c r="FP76" s="405">
        <f t="shared" si="1"/>
        <v>9183674</v>
      </c>
    </row>
    <row r="77" spans="1:172" ht="27" customHeight="1">
      <c r="A77" s="509" t="s">
        <v>559</v>
      </c>
      <c r="B77" s="399"/>
      <c r="C77" s="233"/>
      <c r="D77" s="26" t="s">
        <v>82</v>
      </c>
      <c r="E77" s="402"/>
      <c r="F77" s="402"/>
      <c r="G77" s="402"/>
      <c r="H77" s="402"/>
      <c r="I77" s="403"/>
      <c r="J77" s="403"/>
      <c r="K77" s="403"/>
      <c r="L77" s="403"/>
      <c r="M77" s="403"/>
      <c r="N77" s="403"/>
      <c r="O77" s="403"/>
      <c r="P77" s="403"/>
      <c r="Q77" s="403"/>
      <c r="R77" s="403"/>
      <c r="S77" s="403"/>
      <c r="T77" s="403"/>
      <c r="U77" s="403"/>
      <c r="V77" s="403"/>
      <c r="W77" s="403"/>
      <c r="X77" s="403"/>
      <c r="Y77" s="403"/>
      <c r="Z77" s="403"/>
      <c r="AA77" s="403"/>
      <c r="AB77" s="403"/>
      <c r="AC77" s="403"/>
      <c r="AD77" s="403"/>
      <c r="AE77" s="403"/>
      <c r="AF77" s="403"/>
      <c r="AG77" s="403"/>
      <c r="AH77" s="403"/>
      <c r="AI77" s="403"/>
      <c r="AJ77" s="403"/>
      <c r="AK77" s="403"/>
      <c r="AL77" s="403"/>
      <c r="AM77" s="403"/>
      <c r="AN77" s="403"/>
      <c r="AO77" s="403"/>
      <c r="AP77" s="403"/>
      <c r="AQ77" s="412"/>
      <c r="AR77" s="403"/>
      <c r="AS77" s="403"/>
      <c r="AT77" s="403"/>
      <c r="AU77" s="403"/>
      <c r="AV77" s="403"/>
      <c r="AW77" s="403"/>
      <c r="AX77" s="403"/>
      <c r="AY77" s="403"/>
      <c r="AZ77" s="403"/>
      <c r="BA77" s="403"/>
      <c r="BB77" s="403"/>
      <c r="BC77" s="403"/>
      <c r="BD77" s="403"/>
      <c r="BE77" s="403"/>
      <c r="BF77" s="403"/>
      <c r="BG77" s="403"/>
      <c r="BH77" s="403"/>
      <c r="BI77" s="403"/>
      <c r="BJ77" s="403"/>
      <c r="BK77" s="403"/>
      <c r="BL77" s="403"/>
      <c r="BM77" s="403"/>
      <c r="BN77" s="403"/>
      <c r="BO77" s="403"/>
      <c r="BP77" s="403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  <c r="CJ77" s="403"/>
      <c r="CK77" s="403"/>
      <c r="CL77" s="403"/>
      <c r="CM77" s="403"/>
      <c r="CN77" s="403"/>
      <c r="CO77" s="403"/>
      <c r="CP77" s="403"/>
      <c r="CQ77" s="403"/>
      <c r="CR77" s="403"/>
      <c r="CS77" s="403"/>
      <c r="CT77" s="403"/>
      <c r="CU77" s="404"/>
      <c r="CV77" s="405"/>
      <c r="CW77" s="405"/>
      <c r="CX77" s="405"/>
      <c r="CY77" s="405"/>
      <c r="CZ77" s="405"/>
      <c r="DA77" s="405"/>
      <c r="DB77" s="405"/>
      <c r="DC77" s="405"/>
      <c r="DD77" s="405"/>
      <c r="DE77" s="405"/>
      <c r="DF77" s="405"/>
      <c r="DG77" s="405"/>
      <c r="DH77" s="405"/>
      <c r="DI77" s="405"/>
      <c r="DJ77" s="405"/>
      <c r="DK77" s="405"/>
      <c r="DL77" s="405"/>
      <c r="DM77" s="405"/>
      <c r="DN77" s="405"/>
      <c r="DO77" s="405"/>
      <c r="DP77" s="405"/>
      <c r="DQ77" s="405"/>
      <c r="DR77" s="405"/>
      <c r="DS77" s="405"/>
      <c r="DT77" s="405"/>
      <c r="DU77" s="405"/>
      <c r="DV77" s="405"/>
      <c r="DW77" s="405"/>
      <c r="DX77" s="405"/>
      <c r="DY77" s="405"/>
      <c r="DZ77" s="405"/>
      <c r="EA77" s="405"/>
      <c r="EB77" s="405"/>
      <c r="EC77" s="405"/>
      <c r="ED77" s="405"/>
      <c r="EE77" s="405">
        <v>4591837</v>
      </c>
      <c r="EF77" s="405"/>
      <c r="EG77" s="405"/>
      <c r="EH77" s="405"/>
      <c r="EI77" s="405"/>
      <c r="EJ77" s="405"/>
      <c r="EK77" s="405"/>
      <c r="EL77" s="405"/>
      <c r="EM77" s="405"/>
      <c r="EN77" s="405"/>
      <c r="EO77" s="405"/>
      <c r="EP77" s="405"/>
      <c r="EQ77" s="405"/>
      <c r="ER77" s="405"/>
      <c r="ES77" s="405"/>
      <c r="ET77" s="405"/>
      <c r="EU77" s="405"/>
      <c r="EV77" s="405"/>
      <c r="EW77" s="405"/>
      <c r="EX77" s="405"/>
      <c r="EY77" s="405"/>
      <c r="EZ77" s="405"/>
      <c r="FA77" s="405"/>
      <c r="FB77" s="405"/>
      <c r="FC77" s="405"/>
      <c r="FD77" s="405"/>
      <c r="FE77" s="405"/>
      <c r="FF77" s="405"/>
      <c r="FG77" s="405"/>
      <c r="FH77" s="405"/>
      <c r="FI77" s="405"/>
      <c r="FJ77" s="405"/>
      <c r="FK77" s="405"/>
      <c r="FL77" s="405">
        <v>4591837</v>
      </c>
      <c r="FM77" s="405"/>
      <c r="FN77" s="405"/>
      <c r="FO77" s="405"/>
      <c r="FP77" s="405">
        <f t="shared" si="1"/>
        <v>9183674</v>
      </c>
    </row>
    <row r="78" spans="1:172" ht="27" customHeight="1">
      <c r="A78" s="232"/>
      <c r="B78" s="399"/>
      <c r="C78" s="233"/>
      <c r="D78" s="26"/>
      <c r="E78" s="269"/>
      <c r="F78" s="269"/>
      <c r="G78" s="269"/>
      <c r="H78" s="269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238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241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6"/>
      <c r="DT78" s="86"/>
      <c r="DU78" s="86"/>
      <c r="DV78" s="86"/>
      <c r="DW78" s="86"/>
      <c r="DX78" s="86"/>
      <c r="DY78" s="86"/>
      <c r="DZ78" s="86"/>
      <c r="EA78" s="86"/>
      <c r="EB78" s="86"/>
      <c r="EC78" s="86"/>
      <c r="ED78" s="86"/>
      <c r="EE78" s="86"/>
      <c r="EF78" s="86"/>
      <c r="EG78" s="86"/>
      <c r="EH78" s="86"/>
      <c r="EI78" s="86"/>
      <c r="EJ78" s="86"/>
      <c r="EK78" s="86"/>
      <c r="EL78" s="86"/>
      <c r="EM78" s="86"/>
      <c r="EN78" s="86"/>
      <c r="EO78" s="8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  <c r="FJ78" s="86"/>
      <c r="FK78" s="86"/>
      <c r="FL78" s="86"/>
      <c r="FM78" s="86"/>
      <c r="FN78" s="86"/>
      <c r="FO78" s="86"/>
      <c r="FP78" s="405">
        <f t="shared" ref="FP78:FP79" si="2">SUM(E78:FO78)</f>
        <v>0</v>
      </c>
    </row>
    <row r="79" spans="1:172" ht="33" customHeight="1">
      <c r="A79" s="405"/>
      <c r="B79" s="405"/>
      <c r="C79" s="405"/>
      <c r="D79" s="401"/>
      <c r="E79" s="403"/>
      <c r="F79" s="406"/>
      <c r="G79" s="407"/>
      <c r="H79" s="403"/>
      <c r="I79" s="403"/>
      <c r="J79" s="403"/>
      <c r="K79" s="403"/>
      <c r="L79" s="403"/>
      <c r="M79" s="403"/>
      <c r="N79" s="403"/>
      <c r="O79" s="403"/>
      <c r="P79" s="403"/>
      <c r="Q79" s="403"/>
      <c r="R79" s="403"/>
      <c r="S79" s="403"/>
      <c r="T79" s="403"/>
      <c r="U79" s="403"/>
      <c r="V79" s="403"/>
      <c r="W79" s="403"/>
      <c r="X79" s="403"/>
      <c r="Y79" s="403"/>
      <c r="Z79" s="403"/>
      <c r="AA79" s="403"/>
      <c r="AB79" s="403"/>
      <c r="AC79" s="403"/>
      <c r="AD79" s="403"/>
      <c r="AE79" s="403"/>
      <c r="AF79" s="403"/>
      <c r="AG79" s="403"/>
      <c r="AH79" s="403"/>
      <c r="AI79" s="403"/>
      <c r="AJ79" s="403"/>
      <c r="AK79" s="403"/>
      <c r="AL79" s="403"/>
      <c r="AM79" s="403"/>
      <c r="AN79" s="403"/>
      <c r="AO79" s="403"/>
      <c r="AP79" s="403"/>
      <c r="AQ79" s="403"/>
      <c r="AR79" s="403"/>
      <c r="AS79" s="403"/>
      <c r="AT79" s="403"/>
      <c r="AU79" s="403"/>
      <c r="AV79" s="403"/>
      <c r="AW79" s="403"/>
      <c r="AX79" s="403"/>
      <c r="AY79" s="403"/>
      <c r="AZ79" s="403"/>
      <c r="BA79" s="403"/>
      <c r="BB79" s="403"/>
      <c r="BC79" s="403"/>
      <c r="BD79" s="403"/>
      <c r="BE79" s="403"/>
      <c r="BF79" s="403"/>
      <c r="BG79" s="403"/>
      <c r="BH79" s="403"/>
      <c r="BI79" s="403"/>
      <c r="BJ79" s="403"/>
      <c r="BK79" s="403"/>
      <c r="BL79" s="403"/>
      <c r="BM79" s="403"/>
      <c r="BN79" s="403"/>
      <c r="BO79" s="403"/>
      <c r="BP79" s="403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  <c r="CJ79" s="403"/>
      <c r="CK79" s="403"/>
      <c r="CL79" s="403"/>
      <c r="CM79" s="403"/>
      <c r="CN79" s="403"/>
      <c r="CO79" s="403"/>
      <c r="CP79" s="403"/>
      <c r="CQ79" s="403"/>
      <c r="CR79" s="403"/>
      <c r="CS79" s="403"/>
      <c r="CT79" s="403"/>
      <c r="CU79" s="404"/>
      <c r="CV79" s="405"/>
      <c r="CW79" s="405"/>
      <c r="CX79" s="405"/>
      <c r="CY79" s="405"/>
      <c r="CZ79" s="405"/>
      <c r="DA79" s="405"/>
      <c r="DB79" s="405"/>
      <c r="DC79" s="405"/>
      <c r="DD79" s="405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6"/>
      <c r="DT79" s="86"/>
      <c r="DU79" s="86"/>
      <c r="DV79" s="86"/>
      <c r="DW79" s="86"/>
      <c r="DX79" s="86"/>
      <c r="DY79" s="86"/>
      <c r="DZ79" s="86"/>
      <c r="EA79" s="86"/>
      <c r="EB79" s="86"/>
      <c r="EC79" s="86"/>
      <c r="ED79" s="86"/>
      <c r="EE79" s="86"/>
      <c r="EF79" s="86"/>
      <c r="EG79" s="86"/>
      <c r="EH79" s="86"/>
      <c r="EI79" s="86"/>
      <c r="EJ79" s="86"/>
      <c r="EK79" s="86"/>
      <c r="EL79" s="86"/>
      <c r="EM79" s="86"/>
      <c r="EN79" s="86"/>
      <c r="EO79" s="8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  <c r="FJ79" s="86"/>
      <c r="FK79" s="86"/>
      <c r="FL79" s="86"/>
      <c r="FM79" s="86"/>
      <c r="FN79" s="86"/>
      <c r="FO79" s="86"/>
      <c r="FP79" s="405">
        <f t="shared" si="2"/>
        <v>0</v>
      </c>
    </row>
    <row r="80" spans="1:172" ht="33" customHeight="1">
      <c r="A80" s="408"/>
      <c r="B80" s="408"/>
      <c r="C80" s="408"/>
      <c r="D80" s="409"/>
      <c r="E80" s="410">
        <f t="shared" ref="E80:AJ80" si="3">SUM(E12:E79)</f>
        <v>0</v>
      </c>
      <c r="F80" s="410">
        <f t="shared" si="3"/>
        <v>0</v>
      </c>
      <c r="G80" s="410">
        <f t="shared" si="3"/>
        <v>0</v>
      </c>
      <c r="H80" s="410">
        <f t="shared" si="3"/>
        <v>0</v>
      </c>
      <c r="I80" s="410">
        <f t="shared" si="3"/>
        <v>0</v>
      </c>
      <c r="J80" s="410">
        <f t="shared" si="3"/>
        <v>0</v>
      </c>
      <c r="K80" s="410">
        <f t="shared" si="3"/>
        <v>0</v>
      </c>
      <c r="L80" s="410">
        <f t="shared" si="3"/>
        <v>0</v>
      </c>
      <c r="M80" s="410">
        <f t="shared" si="3"/>
        <v>0</v>
      </c>
      <c r="N80" s="410">
        <f t="shared" si="3"/>
        <v>0</v>
      </c>
      <c r="O80" s="410">
        <f t="shared" si="3"/>
        <v>0</v>
      </c>
      <c r="P80" s="410">
        <f t="shared" si="3"/>
        <v>0</v>
      </c>
      <c r="Q80" s="410">
        <f t="shared" si="3"/>
        <v>0</v>
      </c>
      <c r="R80" s="410">
        <f t="shared" si="3"/>
        <v>0</v>
      </c>
      <c r="S80" s="410">
        <f t="shared" si="3"/>
        <v>0</v>
      </c>
      <c r="T80" s="410">
        <f t="shared" si="3"/>
        <v>0</v>
      </c>
      <c r="U80" s="410">
        <f t="shared" si="3"/>
        <v>0</v>
      </c>
      <c r="V80" s="410">
        <f t="shared" si="3"/>
        <v>0</v>
      </c>
      <c r="W80" s="410">
        <f t="shared" si="3"/>
        <v>0</v>
      </c>
      <c r="X80" s="410">
        <f t="shared" si="3"/>
        <v>0</v>
      </c>
      <c r="Y80" s="410">
        <f t="shared" si="3"/>
        <v>0</v>
      </c>
      <c r="Z80" s="410">
        <f t="shared" si="3"/>
        <v>0</v>
      </c>
      <c r="AA80" s="410">
        <f t="shared" si="3"/>
        <v>0</v>
      </c>
      <c r="AB80" s="410">
        <f t="shared" si="3"/>
        <v>0</v>
      </c>
      <c r="AC80" s="410">
        <f t="shared" si="3"/>
        <v>0</v>
      </c>
      <c r="AD80" s="410">
        <f t="shared" si="3"/>
        <v>0</v>
      </c>
      <c r="AE80" s="410">
        <f t="shared" si="3"/>
        <v>0</v>
      </c>
      <c r="AF80" s="410">
        <f t="shared" si="3"/>
        <v>0</v>
      </c>
      <c r="AG80" s="410">
        <f t="shared" si="3"/>
        <v>0</v>
      </c>
      <c r="AH80" s="410">
        <f t="shared" si="3"/>
        <v>0</v>
      </c>
      <c r="AI80" s="410">
        <f t="shared" si="3"/>
        <v>0</v>
      </c>
      <c r="AJ80" s="410">
        <f t="shared" si="3"/>
        <v>0</v>
      </c>
      <c r="AK80" s="410">
        <f t="shared" ref="AK80:BP80" si="4">SUM(AK12:AK79)</f>
        <v>0</v>
      </c>
      <c r="AL80" s="410">
        <f t="shared" si="4"/>
        <v>0</v>
      </c>
      <c r="AM80" s="410">
        <f t="shared" si="4"/>
        <v>0</v>
      </c>
      <c r="AN80" s="410">
        <f t="shared" si="4"/>
        <v>0</v>
      </c>
      <c r="AO80" s="410">
        <f t="shared" si="4"/>
        <v>0</v>
      </c>
      <c r="AP80" s="410">
        <f t="shared" si="4"/>
        <v>0</v>
      </c>
      <c r="AQ80" s="410">
        <f t="shared" si="4"/>
        <v>0</v>
      </c>
      <c r="AR80" s="410">
        <f t="shared" si="4"/>
        <v>0</v>
      </c>
      <c r="AS80" s="410">
        <f t="shared" si="4"/>
        <v>0</v>
      </c>
      <c r="AT80" s="410">
        <f t="shared" si="4"/>
        <v>0</v>
      </c>
      <c r="AU80" s="410">
        <f t="shared" si="4"/>
        <v>0</v>
      </c>
      <c r="AV80" s="410">
        <f t="shared" si="4"/>
        <v>0</v>
      </c>
      <c r="AW80" s="410">
        <f t="shared" si="4"/>
        <v>0</v>
      </c>
      <c r="AX80" s="410">
        <f t="shared" si="4"/>
        <v>0</v>
      </c>
      <c r="AY80" s="410">
        <f t="shared" si="4"/>
        <v>0</v>
      </c>
      <c r="AZ80" s="410">
        <f t="shared" si="4"/>
        <v>0</v>
      </c>
      <c r="BA80" s="410">
        <f t="shared" si="4"/>
        <v>0</v>
      </c>
      <c r="BB80" s="410">
        <f t="shared" si="4"/>
        <v>0</v>
      </c>
      <c r="BC80" s="410">
        <f t="shared" si="4"/>
        <v>0</v>
      </c>
      <c r="BD80" s="410">
        <f t="shared" si="4"/>
        <v>0</v>
      </c>
      <c r="BE80" s="410">
        <f t="shared" si="4"/>
        <v>0</v>
      </c>
      <c r="BF80" s="410">
        <f t="shared" si="4"/>
        <v>0</v>
      </c>
      <c r="BG80" s="410">
        <f t="shared" si="4"/>
        <v>0</v>
      </c>
      <c r="BH80" s="410">
        <f t="shared" si="4"/>
        <v>0</v>
      </c>
      <c r="BI80" s="410">
        <f t="shared" si="4"/>
        <v>0</v>
      </c>
      <c r="BJ80" s="410">
        <f t="shared" si="4"/>
        <v>0</v>
      </c>
      <c r="BK80" s="410">
        <f t="shared" si="4"/>
        <v>0</v>
      </c>
      <c r="BL80" s="410">
        <f t="shared" si="4"/>
        <v>0</v>
      </c>
      <c r="BM80" s="410">
        <f t="shared" si="4"/>
        <v>0</v>
      </c>
      <c r="BN80" s="410">
        <f t="shared" si="4"/>
        <v>0</v>
      </c>
      <c r="BO80" s="410">
        <f t="shared" si="4"/>
        <v>0</v>
      </c>
      <c r="BP80" s="410">
        <f t="shared" si="4"/>
        <v>0</v>
      </c>
      <c r="BQ80" s="410">
        <f t="shared" ref="BQ80:CV80" si="5">SUM(BQ12:BQ79)</f>
        <v>0</v>
      </c>
      <c r="BR80" s="410">
        <f t="shared" si="5"/>
        <v>0</v>
      </c>
      <c r="BS80" s="410">
        <f t="shared" si="5"/>
        <v>0</v>
      </c>
      <c r="BT80" s="410">
        <f t="shared" si="5"/>
        <v>0</v>
      </c>
      <c r="BU80" s="410">
        <f t="shared" si="5"/>
        <v>0</v>
      </c>
      <c r="BV80" s="410">
        <f t="shared" si="5"/>
        <v>0</v>
      </c>
      <c r="BW80" s="410">
        <f t="shared" si="5"/>
        <v>0</v>
      </c>
      <c r="BX80" s="410">
        <f t="shared" si="5"/>
        <v>0</v>
      </c>
      <c r="BY80" s="410">
        <f t="shared" si="5"/>
        <v>0</v>
      </c>
      <c r="BZ80" s="410">
        <f t="shared" si="5"/>
        <v>0</v>
      </c>
      <c r="CA80" s="410">
        <f t="shared" si="5"/>
        <v>0</v>
      </c>
      <c r="CB80" s="410">
        <f t="shared" si="5"/>
        <v>0</v>
      </c>
      <c r="CC80" s="410">
        <f t="shared" si="5"/>
        <v>0</v>
      </c>
      <c r="CD80" s="410">
        <f t="shared" si="5"/>
        <v>0</v>
      </c>
      <c r="CE80" s="410">
        <f t="shared" si="5"/>
        <v>0</v>
      </c>
      <c r="CF80" s="410">
        <f t="shared" si="5"/>
        <v>0</v>
      </c>
      <c r="CG80" s="410">
        <f t="shared" si="5"/>
        <v>0</v>
      </c>
      <c r="CH80" s="410">
        <f t="shared" si="5"/>
        <v>0</v>
      </c>
      <c r="CI80" s="410">
        <f t="shared" si="5"/>
        <v>0</v>
      </c>
      <c r="CJ80" s="410">
        <f t="shared" si="5"/>
        <v>0</v>
      </c>
      <c r="CK80" s="410">
        <f t="shared" si="5"/>
        <v>0</v>
      </c>
      <c r="CL80" s="410">
        <f t="shared" si="5"/>
        <v>0</v>
      </c>
      <c r="CM80" s="410">
        <f t="shared" si="5"/>
        <v>0</v>
      </c>
      <c r="CN80" s="410">
        <f t="shared" si="5"/>
        <v>0</v>
      </c>
      <c r="CO80" s="410">
        <f t="shared" si="5"/>
        <v>0</v>
      </c>
      <c r="CP80" s="410">
        <f t="shared" si="5"/>
        <v>0</v>
      </c>
      <c r="CQ80" s="410">
        <f t="shared" si="5"/>
        <v>0</v>
      </c>
      <c r="CR80" s="410">
        <f t="shared" si="5"/>
        <v>0</v>
      </c>
      <c r="CS80" s="410">
        <f t="shared" si="5"/>
        <v>0</v>
      </c>
      <c r="CT80" s="410">
        <f t="shared" si="5"/>
        <v>34393050</v>
      </c>
      <c r="CU80" s="410">
        <f t="shared" si="5"/>
        <v>0</v>
      </c>
      <c r="CV80" s="410">
        <f t="shared" si="5"/>
        <v>0</v>
      </c>
      <c r="CW80" s="410">
        <f t="shared" ref="CW80:EB80" si="6">SUM(CW12:CW79)</f>
        <v>0</v>
      </c>
      <c r="CX80" s="410">
        <f t="shared" si="6"/>
        <v>0</v>
      </c>
      <c r="CY80" s="410">
        <f t="shared" si="6"/>
        <v>70008</v>
      </c>
      <c r="CZ80" s="410">
        <f t="shared" si="6"/>
        <v>0</v>
      </c>
      <c r="DA80" s="410">
        <f t="shared" si="6"/>
        <v>0</v>
      </c>
      <c r="DB80" s="410">
        <f t="shared" si="6"/>
        <v>60000000</v>
      </c>
      <c r="DC80" s="410">
        <f t="shared" si="6"/>
        <v>0</v>
      </c>
      <c r="DD80" s="410">
        <f t="shared" si="6"/>
        <v>2348000</v>
      </c>
      <c r="DE80" s="410">
        <f t="shared" si="6"/>
        <v>0</v>
      </c>
      <c r="DF80" s="410">
        <f t="shared" si="6"/>
        <v>0</v>
      </c>
      <c r="DG80" s="410">
        <f t="shared" si="6"/>
        <v>0</v>
      </c>
      <c r="DH80" s="410">
        <f t="shared" si="6"/>
        <v>2500000</v>
      </c>
      <c r="DI80" s="410">
        <f t="shared" si="6"/>
        <v>0</v>
      </c>
      <c r="DJ80" s="410">
        <f t="shared" si="6"/>
        <v>10250000</v>
      </c>
      <c r="DK80" s="410">
        <f t="shared" si="6"/>
        <v>0</v>
      </c>
      <c r="DL80" s="410">
        <f t="shared" si="6"/>
        <v>0</v>
      </c>
      <c r="DM80" s="410">
        <f t="shared" si="6"/>
        <v>0</v>
      </c>
      <c r="DN80" s="410">
        <f t="shared" si="6"/>
        <v>0</v>
      </c>
      <c r="DO80" s="410">
        <f t="shared" si="6"/>
        <v>500000</v>
      </c>
      <c r="DP80" s="410">
        <f t="shared" si="6"/>
        <v>0</v>
      </c>
      <c r="DQ80" s="410">
        <f t="shared" si="6"/>
        <v>1450000</v>
      </c>
      <c r="DR80" s="410">
        <f t="shared" si="6"/>
        <v>0</v>
      </c>
      <c r="DS80" s="410">
        <f t="shared" si="6"/>
        <v>0</v>
      </c>
      <c r="DT80" s="410">
        <f t="shared" si="6"/>
        <v>0</v>
      </c>
      <c r="DU80" s="410">
        <f t="shared" si="6"/>
        <v>0</v>
      </c>
      <c r="DV80" s="410">
        <f t="shared" si="6"/>
        <v>0</v>
      </c>
      <c r="DW80" s="410">
        <f t="shared" si="6"/>
        <v>0</v>
      </c>
      <c r="DX80" s="410">
        <f t="shared" si="6"/>
        <v>0</v>
      </c>
      <c r="DY80" s="410">
        <f t="shared" si="6"/>
        <v>0</v>
      </c>
      <c r="DZ80" s="410">
        <f t="shared" si="6"/>
        <v>0</v>
      </c>
      <c r="EA80" s="410">
        <f t="shared" si="6"/>
        <v>0</v>
      </c>
      <c r="EB80" s="410">
        <f t="shared" si="6"/>
        <v>0</v>
      </c>
      <c r="EC80" s="410">
        <f t="shared" ref="EC80:FH80" si="7">SUM(EC12:EC79)</f>
        <v>0</v>
      </c>
      <c r="ED80" s="410">
        <f t="shared" si="7"/>
        <v>0</v>
      </c>
      <c r="EE80" s="410">
        <f t="shared" si="7"/>
        <v>68474531</v>
      </c>
      <c r="EF80" s="410">
        <f t="shared" si="7"/>
        <v>0</v>
      </c>
      <c r="EG80" s="410">
        <f t="shared" si="7"/>
        <v>0</v>
      </c>
      <c r="EH80" s="410">
        <f t="shared" si="7"/>
        <v>0</v>
      </c>
      <c r="EI80" s="410">
        <f t="shared" si="7"/>
        <v>0</v>
      </c>
      <c r="EJ80" s="410">
        <f t="shared" si="7"/>
        <v>2500000</v>
      </c>
      <c r="EK80" s="410">
        <f t="shared" si="7"/>
        <v>0</v>
      </c>
      <c r="EL80" s="410">
        <f t="shared" si="7"/>
        <v>0</v>
      </c>
      <c r="EM80" s="410">
        <f t="shared" si="7"/>
        <v>0</v>
      </c>
      <c r="EN80" s="410">
        <f t="shared" si="7"/>
        <v>0</v>
      </c>
      <c r="EO80" s="410">
        <f t="shared" si="7"/>
        <v>0</v>
      </c>
      <c r="EP80" s="410">
        <f t="shared" si="7"/>
        <v>0</v>
      </c>
      <c r="EQ80" s="410">
        <f t="shared" si="7"/>
        <v>4100000</v>
      </c>
      <c r="ER80" s="410">
        <f t="shared" si="7"/>
        <v>0</v>
      </c>
      <c r="ES80" s="410">
        <f t="shared" si="7"/>
        <v>600000</v>
      </c>
      <c r="ET80" s="410">
        <f t="shared" si="7"/>
        <v>0</v>
      </c>
      <c r="EU80" s="410">
        <f t="shared" si="7"/>
        <v>0</v>
      </c>
      <c r="EV80" s="410">
        <f t="shared" si="7"/>
        <v>0</v>
      </c>
      <c r="EW80" s="410">
        <f t="shared" si="7"/>
        <v>0</v>
      </c>
      <c r="EX80" s="410">
        <f t="shared" si="7"/>
        <v>0</v>
      </c>
      <c r="EY80" s="410">
        <f t="shared" si="7"/>
        <v>0</v>
      </c>
      <c r="EZ80" s="410">
        <f t="shared" si="7"/>
        <v>0</v>
      </c>
      <c r="FA80" s="410">
        <f t="shared" si="7"/>
        <v>0</v>
      </c>
      <c r="FB80" s="410">
        <f t="shared" si="7"/>
        <v>0</v>
      </c>
      <c r="FC80" s="410">
        <f t="shared" si="7"/>
        <v>0</v>
      </c>
      <c r="FD80" s="410">
        <f t="shared" si="7"/>
        <v>0</v>
      </c>
      <c r="FE80" s="410">
        <f t="shared" si="7"/>
        <v>50000000</v>
      </c>
      <c r="FF80" s="410">
        <f t="shared" si="7"/>
        <v>0</v>
      </c>
      <c r="FG80" s="410">
        <f t="shared" si="7"/>
        <v>0</v>
      </c>
      <c r="FH80" s="410">
        <f t="shared" si="7"/>
        <v>0</v>
      </c>
      <c r="FI80" s="410">
        <f t="shared" ref="FI80:FP80" si="8">SUM(FI12:FI79)</f>
        <v>0</v>
      </c>
      <c r="FJ80" s="410">
        <f t="shared" si="8"/>
        <v>0</v>
      </c>
      <c r="FK80" s="410">
        <f t="shared" si="8"/>
        <v>0</v>
      </c>
      <c r="FL80" s="410">
        <f t="shared" si="8"/>
        <v>68474531</v>
      </c>
      <c r="FM80" s="410">
        <f t="shared" si="8"/>
        <v>0</v>
      </c>
      <c r="FN80" s="410">
        <f t="shared" si="8"/>
        <v>0</v>
      </c>
      <c r="FO80" s="410">
        <f t="shared" si="8"/>
        <v>2500000</v>
      </c>
      <c r="FP80" s="476">
        <f t="shared" si="8"/>
        <v>308160120</v>
      </c>
    </row>
    <row r="81" spans="1:108" ht="33" customHeight="1">
      <c r="A81" s="411"/>
      <c r="C81" s="115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  <c r="AW81" s="113"/>
      <c r="AX81" s="113"/>
      <c r="AY81" s="113"/>
      <c r="AZ81" s="113"/>
      <c r="BA81" s="113"/>
      <c r="BB81" s="113"/>
      <c r="BC81" s="113"/>
      <c r="BD81" s="113"/>
      <c r="BE81" s="113"/>
      <c r="BF81" s="113"/>
      <c r="BG81" s="113"/>
      <c r="BH81" s="113"/>
      <c r="BI81" s="113"/>
      <c r="BJ81" s="113"/>
      <c r="BK81" s="113"/>
      <c r="BL81" s="113"/>
      <c r="BM81" s="113"/>
      <c r="BN81" s="113"/>
      <c r="BO81" s="113"/>
      <c r="BP81" s="113"/>
      <c r="BQ81" s="113"/>
      <c r="BR81" s="113"/>
      <c r="BS81" s="113"/>
      <c r="BT81" s="113"/>
      <c r="BU81" s="113"/>
      <c r="BV81" s="113"/>
      <c r="BW81" s="113"/>
      <c r="BX81" s="113"/>
      <c r="BY81" s="113"/>
      <c r="BZ81" s="113"/>
      <c r="CA81" s="113"/>
      <c r="CB81" s="113"/>
      <c r="CC81" s="113"/>
      <c r="CD81" s="113"/>
      <c r="CE81" s="113"/>
      <c r="CF81" s="113"/>
      <c r="CG81" s="113"/>
      <c r="CH81" s="113"/>
      <c r="CI81" s="113"/>
      <c r="CJ81" s="113"/>
      <c r="CK81" s="113"/>
      <c r="CL81" s="113"/>
      <c r="CM81" s="113"/>
      <c r="CN81" s="113"/>
      <c r="CO81" s="113"/>
      <c r="CP81" s="113"/>
      <c r="CQ81" s="113"/>
      <c r="CR81" s="113"/>
      <c r="CS81" s="113"/>
      <c r="CT81" s="113"/>
      <c r="CU81" s="113"/>
      <c r="CV81" s="113"/>
      <c r="CW81" s="113"/>
      <c r="CX81" s="113"/>
      <c r="CY81" s="113"/>
      <c r="CZ81" s="113"/>
      <c r="DA81" s="113"/>
      <c r="DB81" s="113"/>
      <c r="DC81" s="113"/>
      <c r="DD81" s="113"/>
    </row>
    <row r="82" spans="1:108" ht="33" customHeight="1">
      <c r="A82" s="411"/>
      <c r="C82" s="115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  <c r="AV82" s="113"/>
      <c r="AW82" s="113"/>
      <c r="AX82" s="113"/>
      <c r="AY82" s="113"/>
      <c r="AZ82" s="113"/>
      <c r="BA82" s="113"/>
      <c r="BB82" s="113"/>
      <c r="BC82" s="113"/>
      <c r="BD82" s="113"/>
      <c r="BE82" s="113"/>
      <c r="BF82" s="113"/>
      <c r="BG82" s="113"/>
      <c r="BH82" s="113"/>
      <c r="BI82" s="113"/>
      <c r="BJ82" s="113"/>
      <c r="BK82" s="113"/>
      <c r="BL82" s="113"/>
      <c r="BM82" s="113"/>
      <c r="BN82" s="113"/>
      <c r="BO82" s="113"/>
      <c r="BP82" s="113"/>
      <c r="BQ82" s="113"/>
      <c r="BR82" s="113"/>
      <c r="BS82" s="113"/>
      <c r="BT82" s="113"/>
      <c r="BU82" s="113"/>
      <c r="BV82" s="113"/>
      <c r="BW82" s="113"/>
      <c r="BX82" s="113"/>
      <c r="BY82" s="113"/>
      <c r="BZ82" s="113"/>
      <c r="CA82" s="113"/>
      <c r="CB82" s="113"/>
      <c r="CC82" s="113"/>
      <c r="CD82" s="113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P82" s="113"/>
      <c r="CQ82" s="113"/>
      <c r="CR82" s="113"/>
      <c r="CS82" s="113"/>
      <c r="CT82" s="113"/>
      <c r="CU82" s="113"/>
      <c r="CV82" s="113"/>
      <c r="CW82" s="113"/>
      <c r="CX82" s="113"/>
      <c r="CY82" s="113"/>
      <c r="CZ82" s="113"/>
      <c r="DA82" s="113"/>
      <c r="DB82" s="113"/>
      <c r="DC82" s="113"/>
      <c r="DD82" s="113"/>
    </row>
    <row r="83" spans="1:108" ht="33" customHeight="1">
      <c r="A83" s="411"/>
      <c r="C83" s="115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113"/>
      <c r="BI83" s="113"/>
      <c r="BJ83" s="113"/>
      <c r="BK83" s="113"/>
      <c r="BL83" s="113"/>
      <c r="BM83" s="113"/>
      <c r="BN83" s="113"/>
      <c r="BO83" s="113"/>
      <c r="BP83" s="113"/>
      <c r="BQ83" s="113"/>
      <c r="BR83" s="113"/>
      <c r="BS83" s="113"/>
      <c r="BT83" s="113"/>
      <c r="BU83" s="113"/>
      <c r="BV83" s="113"/>
      <c r="BW83" s="113"/>
      <c r="BX83" s="113"/>
      <c r="BY83" s="113"/>
      <c r="BZ83" s="113"/>
      <c r="CA83" s="113"/>
      <c r="CB83" s="113"/>
      <c r="CC83" s="113"/>
      <c r="CD83" s="113"/>
      <c r="CE83" s="113"/>
      <c r="CF83" s="113"/>
      <c r="CG83" s="113"/>
      <c r="CH83" s="113"/>
      <c r="CI83" s="113"/>
      <c r="CJ83" s="113"/>
      <c r="CK83" s="113"/>
      <c r="CL83" s="113"/>
      <c r="CM83" s="113"/>
      <c r="CN83" s="113"/>
      <c r="CO83" s="113"/>
      <c r="CP83" s="113"/>
      <c r="CQ83" s="113"/>
      <c r="CR83" s="113"/>
      <c r="CS83" s="113"/>
      <c r="CT83" s="113"/>
      <c r="CU83" s="113"/>
      <c r="CV83" s="113"/>
      <c r="CW83" s="113"/>
      <c r="CX83" s="113"/>
      <c r="CY83" s="113"/>
      <c r="CZ83" s="113"/>
      <c r="DA83" s="113"/>
      <c r="DB83" s="113"/>
      <c r="DC83" s="113"/>
      <c r="DD83" s="113"/>
    </row>
    <row r="84" spans="1:108" ht="33" customHeight="1">
      <c r="A84" s="411"/>
      <c r="C84" s="115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  <c r="AW84" s="113"/>
      <c r="AX84" s="113"/>
      <c r="AY84" s="113"/>
      <c r="AZ84" s="113"/>
      <c r="BA84" s="113"/>
      <c r="BB84" s="113"/>
      <c r="BC84" s="113"/>
      <c r="BD84" s="113"/>
      <c r="BE84" s="113"/>
      <c r="BF84" s="113"/>
      <c r="BG84" s="113"/>
      <c r="BH84" s="113"/>
      <c r="BI84" s="113"/>
      <c r="BJ84" s="113"/>
      <c r="BK84" s="113"/>
      <c r="BL84" s="113"/>
      <c r="BM84" s="113"/>
      <c r="BN84" s="113"/>
      <c r="BO84" s="113"/>
      <c r="BP84" s="113"/>
      <c r="BQ84" s="113"/>
      <c r="BR84" s="113"/>
      <c r="BS84" s="113"/>
      <c r="BT84" s="113"/>
      <c r="BU84" s="113"/>
      <c r="BV84" s="113"/>
      <c r="BW84" s="113"/>
      <c r="BX84" s="113"/>
      <c r="BY84" s="113"/>
      <c r="BZ84" s="113"/>
      <c r="CA84" s="113"/>
      <c r="CB84" s="113"/>
      <c r="CC84" s="113"/>
      <c r="CD84" s="113"/>
      <c r="CE84" s="113"/>
      <c r="CF84" s="113"/>
      <c r="CG84" s="113"/>
      <c r="CH84" s="113"/>
      <c r="CI84" s="113"/>
      <c r="CJ84" s="113"/>
      <c r="CK84" s="113"/>
      <c r="CL84" s="113"/>
      <c r="CM84" s="113"/>
      <c r="CN84" s="113"/>
      <c r="CO84" s="113"/>
      <c r="CP84" s="113"/>
      <c r="CQ84" s="113"/>
      <c r="CR84" s="113"/>
      <c r="CS84" s="113"/>
      <c r="CT84" s="113"/>
      <c r="CU84" s="113"/>
      <c r="CV84" s="113"/>
      <c r="CW84" s="113"/>
      <c r="CX84" s="113"/>
      <c r="CY84" s="113"/>
      <c r="CZ84" s="113"/>
      <c r="DA84" s="113"/>
      <c r="DB84" s="113"/>
      <c r="DC84" s="113"/>
      <c r="DD84" s="113"/>
    </row>
    <row r="85" spans="1:108" ht="33" customHeight="1">
      <c r="A85" s="411"/>
      <c r="C85" s="115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13"/>
      <c r="AY85" s="113"/>
      <c r="AZ85" s="113"/>
      <c r="BA85" s="113"/>
      <c r="BB85" s="113"/>
      <c r="BC85" s="113"/>
      <c r="BD85" s="113"/>
      <c r="BE85" s="113"/>
      <c r="BF85" s="113"/>
      <c r="BG85" s="113"/>
      <c r="BH85" s="113"/>
      <c r="BI85" s="113"/>
      <c r="BJ85" s="113"/>
      <c r="BK85" s="113"/>
      <c r="BL85" s="113"/>
      <c r="BM85" s="113"/>
      <c r="BN85" s="113"/>
      <c r="BO85" s="113"/>
      <c r="BP85" s="113"/>
      <c r="BQ85" s="113"/>
      <c r="BR85" s="113"/>
      <c r="BS85" s="113"/>
      <c r="BT85" s="113"/>
      <c r="BU85" s="113"/>
      <c r="BV85" s="113"/>
      <c r="BW85" s="113"/>
      <c r="BX85" s="113"/>
      <c r="BY85" s="113"/>
      <c r="BZ85" s="113"/>
      <c r="CA85" s="113"/>
      <c r="CB85" s="113"/>
      <c r="CC85" s="113"/>
      <c r="CD85" s="113"/>
      <c r="CE85" s="113"/>
      <c r="CF85" s="113"/>
      <c r="CG85" s="113"/>
      <c r="CH85" s="113"/>
      <c r="CI85" s="113"/>
      <c r="CJ85" s="113"/>
      <c r="CK85" s="113"/>
      <c r="CL85" s="113"/>
      <c r="CM85" s="113"/>
      <c r="CN85" s="113"/>
      <c r="CO85" s="113"/>
      <c r="CP85" s="113"/>
      <c r="CQ85" s="113"/>
      <c r="CR85" s="113"/>
      <c r="CS85" s="113"/>
      <c r="CT85" s="113"/>
      <c r="CU85" s="113"/>
      <c r="CV85" s="113"/>
      <c r="CW85" s="113"/>
      <c r="CX85" s="113"/>
      <c r="CY85" s="113"/>
      <c r="CZ85" s="113"/>
      <c r="DA85" s="113"/>
      <c r="DB85" s="113"/>
      <c r="DC85" s="113"/>
      <c r="DD85" s="113"/>
    </row>
    <row r="86" spans="1:108" ht="33" customHeight="1">
      <c r="A86" s="411"/>
      <c r="C86" s="115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3"/>
      <c r="BP86" s="113"/>
      <c r="BQ86" s="113"/>
      <c r="BR86" s="113"/>
      <c r="BS86" s="113"/>
      <c r="BT86" s="113"/>
      <c r="BU86" s="113"/>
      <c r="BV86" s="113"/>
      <c r="BW86" s="113"/>
      <c r="BX86" s="113"/>
      <c r="BY86" s="113"/>
      <c r="BZ86" s="113"/>
      <c r="CA86" s="113"/>
      <c r="CB86" s="113"/>
      <c r="CC86" s="113"/>
      <c r="CD86" s="113"/>
      <c r="CE86" s="113"/>
      <c r="CF86" s="113"/>
      <c r="CG86" s="113"/>
      <c r="CH86" s="113"/>
      <c r="CI86" s="113"/>
      <c r="CJ86" s="113"/>
      <c r="CK86" s="113"/>
      <c r="CL86" s="113"/>
      <c r="CM86" s="113"/>
      <c r="CN86" s="113"/>
      <c r="CO86" s="113"/>
      <c r="CP86" s="113"/>
      <c r="CQ86" s="113"/>
      <c r="CR86" s="113"/>
      <c r="CS86" s="113"/>
      <c r="CT86" s="113"/>
      <c r="CU86" s="113"/>
      <c r="CV86" s="113"/>
      <c r="CW86" s="113"/>
      <c r="CX86" s="113"/>
      <c r="CY86" s="113"/>
      <c r="CZ86" s="113"/>
      <c r="DA86" s="113"/>
      <c r="DB86" s="113"/>
      <c r="DC86" s="113"/>
      <c r="DD86" s="113"/>
    </row>
    <row r="87" spans="1:108" ht="33" customHeight="1">
      <c r="A87" s="411"/>
      <c r="C87" s="115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L87" s="113"/>
      <c r="CM87" s="113"/>
      <c r="CN87" s="113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113"/>
      <c r="DB87" s="113"/>
      <c r="DC87" s="113"/>
      <c r="DD87" s="113"/>
    </row>
    <row r="88" spans="1:108" ht="33" customHeight="1">
      <c r="A88" s="411"/>
      <c r="C88" s="115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  <c r="BM88" s="113"/>
      <c r="BN88" s="113"/>
      <c r="BO88" s="113"/>
      <c r="BP88" s="113"/>
      <c r="BQ88" s="113"/>
      <c r="BR88" s="113"/>
      <c r="BS88" s="113"/>
      <c r="BT88" s="113"/>
      <c r="BU88" s="113"/>
      <c r="BV88" s="113"/>
      <c r="BW88" s="113"/>
      <c r="BX88" s="113"/>
      <c r="BY88" s="113"/>
      <c r="BZ88" s="113"/>
      <c r="CA88" s="113"/>
      <c r="CB88" s="113"/>
      <c r="CC88" s="113"/>
      <c r="CD88" s="113"/>
      <c r="CE88" s="113"/>
      <c r="CF88" s="113"/>
      <c r="CG88" s="113"/>
      <c r="CH88" s="113"/>
      <c r="CI88" s="113"/>
      <c r="CJ88" s="113"/>
      <c r="CK88" s="113"/>
      <c r="CL88" s="113"/>
      <c r="CM88" s="113"/>
      <c r="CN88" s="113"/>
      <c r="CO88" s="113"/>
      <c r="CP88" s="113"/>
      <c r="CQ88" s="113"/>
      <c r="CR88" s="113"/>
      <c r="CS88" s="113"/>
      <c r="CT88" s="113"/>
      <c r="CU88" s="113"/>
      <c r="CV88" s="113"/>
      <c r="CW88" s="113"/>
      <c r="CX88" s="113"/>
      <c r="CY88" s="113"/>
      <c r="CZ88" s="113"/>
      <c r="DA88" s="113"/>
      <c r="DB88" s="113"/>
      <c r="DC88" s="113"/>
      <c r="DD88" s="113"/>
    </row>
    <row r="89" spans="1:108" ht="33" customHeight="1">
      <c r="A89" s="411"/>
      <c r="C89" s="115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3"/>
      <c r="BG89" s="113"/>
      <c r="BH89" s="113"/>
      <c r="BI89" s="113"/>
      <c r="BJ89" s="113"/>
      <c r="BK89" s="113"/>
      <c r="BL89" s="113"/>
      <c r="BM89" s="113"/>
      <c r="BN89" s="113"/>
      <c r="BO89" s="113"/>
      <c r="BP89" s="113"/>
      <c r="BQ89" s="113"/>
      <c r="BR89" s="113"/>
      <c r="BS89" s="113"/>
      <c r="BT89" s="113"/>
      <c r="BU89" s="113"/>
      <c r="BV89" s="113"/>
      <c r="BW89" s="113"/>
      <c r="BX89" s="113"/>
      <c r="BY89" s="113"/>
      <c r="BZ89" s="113"/>
      <c r="CA89" s="113"/>
      <c r="CB89" s="113"/>
      <c r="CC89" s="113"/>
      <c r="CD89" s="113"/>
      <c r="CE89" s="113"/>
      <c r="CF89" s="113"/>
      <c r="CG89" s="113"/>
      <c r="CH89" s="113"/>
      <c r="CI89" s="113"/>
      <c r="CJ89" s="113"/>
      <c r="CK89" s="113"/>
      <c r="CL89" s="113"/>
      <c r="CM89" s="113"/>
      <c r="CN89" s="113"/>
      <c r="CO89" s="113"/>
      <c r="CP89" s="113"/>
      <c r="CQ89" s="113"/>
      <c r="CR89" s="113"/>
      <c r="CS89" s="113"/>
      <c r="CT89" s="113"/>
      <c r="CU89" s="113"/>
      <c r="CV89" s="113"/>
      <c r="CW89" s="113"/>
      <c r="CX89" s="113"/>
      <c r="CY89" s="113"/>
      <c r="CZ89" s="113"/>
      <c r="DA89" s="113"/>
      <c r="DB89" s="113"/>
      <c r="DC89" s="113"/>
      <c r="DD89" s="113"/>
    </row>
    <row r="90" spans="1:108" ht="33" customHeight="1">
      <c r="A90" s="411"/>
      <c r="C90" s="115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  <c r="AW90" s="113"/>
      <c r="AX90" s="113"/>
      <c r="AY90" s="113"/>
      <c r="AZ90" s="113"/>
      <c r="BA90" s="113"/>
      <c r="BB90" s="113"/>
      <c r="BC90" s="113"/>
      <c r="BD90" s="113"/>
      <c r="BE90" s="113"/>
      <c r="BF90" s="113"/>
      <c r="BG90" s="113"/>
      <c r="BH90" s="113"/>
      <c r="BI90" s="113"/>
      <c r="BJ90" s="113"/>
      <c r="BK90" s="113"/>
      <c r="BL90" s="113"/>
      <c r="BM90" s="113"/>
      <c r="BN90" s="113"/>
      <c r="BO90" s="113"/>
      <c r="BP90" s="113"/>
      <c r="BQ90" s="113"/>
      <c r="BR90" s="113"/>
      <c r="BS90" s="113"/>
      <c r="BT90" s="113"/>
      <c r="BU90" s="113"/>
      <c r="BV90" s="113"/>
      <c r="BW90" s="113"/>
      <c r="BX90" s="113"/>
      <c r="BY90" s="113"/>
      <c r="BZ90" s="113"/>
      <c r="CA90" s="113"/>
      <c r="CB90" s="113"/>
      <c r="CC90" s="113"/>
      <c r="CD90" s="113"/>
      <c r="CE90" s="113"/>
      <c r="CF90" s="113"/>
      <c r="CG90" s="113"/>
      <c r="CH90" s="113"/>
      <c r="CI90" s="113"/>
      <c r="CJ90" s="113"/>
      <c r="CK90" s="113"/>
      <c r="CL90" s="113"/>
      <c r="CM90" s="113"/>
      <c r="CN90" s="113"/>
      <c r="CO90" s="113"/>
      <c r="CP90" s="113"/>
      <c r="CQ90" s="113"/>
      <c r="CR90" s="113"/>
      <c r="CS90" s="113"/>
      <c r="CT90" s="113"/>
      <c r="CU90" s="113"/>
      <c r="CV90" s="113"/>
      <c r="CW90" s="113"/>
      <c r="CX90" s="113"/>
      <c r="CY90" s="113"/>
      <c r="CZ90" s="113"/>
      <c r="DA90" s="113"/>
      <c r="DB90" s="113"/>
      <c r="DC90" s="113"/>
      <c r="DD90" s="113"/>
    </row>
    <row r="91" spans="1:108" ht="33" customHeight="1">
      <c r="A91" s="411"/>
      <c r="C91" s="115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113"/>
      <c r="BI91" s="113"/>
      <c r="BJ91" s="113"/>
      <c r="BK91" s="113"/>
      <c r="BL91" s="113"/>
      <c r="BM91" s="113"/>
      <c r="BN91" s="113"/>
      <c r="BO91" s="113"/>
      <c r="BP91" s="113"/>
      <c r="BQ91" s="113"/>
      <c r="BR91" s="113"/>
      <c r="BS91" s="113"/>
      <c r="BT91" s="113"/>
      <c r="BU91" s="113"/>
      <c r="BV91" s="113"/>
      <c r="BW91" s="113"/>
      <c r="BX91" s="113"/>
      <c r="BY91" s="113"/>
      <c r="BZ91" s="113"/>
      <c r="CA91" s="113"/>
      <c r="CB91" s="113"/>
      <c r="CC91" s="113"/>
      <c r="CD91" s="113"/>
      <c r="CE91" s="113"/>
      <c r="CF91" s="113"/>
      <c r="CG91" s="113"/>
      <c r="CH91" s="113"/>
      <c r="CI91" s="113"/>
      <c r="CJ91" s="113"/>
      <c r="CK91" s="113"/>
      <c r="CL91" s="113"/>
      <c r="CM91" s="113"/>
      <c r="CN91" s="113"/>
      <c r="CO91" s="113"/>
      <c r="CP91" s="113"/>
      <c r="CQ91" s="113"/>
      <c r="CR91" s="113"/>
      <c r="CS91" s="113"/>
      <c r="CT91" s="113"/>
      <c r="CU91" s="113"/>
      <c r="CV91" s="113"/>
      <c r="CW91" s="113"/>
      <c r="CX91" s="113"/>
      <c r="CY91" s="113"/>
      <c r="CZ91" s="113"/>
      <c r="DA91" s="113"/>
      <c r="DB91" s="113"/>
      <c r="DC91" s="113"/>
      <c r="DD91" s="113"/>
    </row>
    <row r="92" spans="1:108" ht="33" customHeight="1">
      <c r="A92" s="411"/>
      <c r="C92" s="115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113"/>
      <c r="BQ92" s="113"/>
      <c r="BR92" s="113"/>
      <c r="BS92" s="113"/>
      <c r="BT92" s="113"/>
      <c r="BU92" s="113"/>
      <c r="BV92" s="113"/>
      <c r="BW92" s="113"/>
      <c r="BX92" s="113"/>
      <c r="BY92" s="113"/>
      <c r="BZ92" s="113"/>
      <c r="CA92" s="113"/>
      <c r="CB92" s="113"/>
      <c r="CC92" s="113"/>
      <c r="CD92" s="113"/>
      <c r="CE92" s="113"/>
      <c r="CF92" s="113"/>
      <c r="CG92" s="113"/>
      <c r="CH92" s="113"/>
      <c r="CI92" s="113"/>
      <c r="CJ92" s="113"/>
      <c r="CK92" s="113"/>
      <c r="CL92" s="113"/>
      <c r="CM92" s="113"/>
      <c r="CN92" s="113"/>
      <c r="CO92" s="113"/>
      <c r="CP92" s="113"/>
      <c r="CQ92" s="113"/>
      <c r="CR92" s="113"/>
      <c r="CS92" s="113"/>
      <c r="CT92" s="113"/>
      <c r="CU92" s="113"/>
      <c r="CV92" s="113"/>
      <c r="CW92" s="113"/>
      <c r="CX92" s="113"/>
      <c r="CY92" s="113"/>
      <c r="CZ92" s="113"/>
      <c r="DA92" s="113"/>
      <c r="DB92" s="113"/>
      <c r="DC92" s="113"/>
      <c r="DD92" s="113"/>
    </row>
    <row r="93" spans="1:108" ht="33" customHeight="1">
      <c r="A93" s="411"/>
      <c r="C93" s="115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13"/>
      <c r="BQ93" s="113"/>
      <c r="BR93" s="113"/>
      <c r="BS93" s="113"/>
      <c r="BT93" s="113"/>
      <c r="BU93" s="113"/>
      <c r="BV93" s="113"/>
      <c r="BW93" s="113"/>
      <c r="BX93" s="113"/>
      <c r="BY93" s="113"/>
      <c r="BZ93" s="113"/>
      <c r="CA93" s="113"/>
      <c r="CB93" s="113"/>
      <c r="CC93" s="113"/>
      <c r="CD93" s="113"/>
      <c r="CE93" s="113"/>
      <c r="CF93" s="113"/>
      <c r="CG93" s="113"/>
      <c r="CH93" s="113"/>
      <c r="CI93" s="113"/>
      <c r="CJ93" s="113"/>
      <c r="CK93" s="113"/>
      <c r="CL93" s="113"/>
      <c r="CM93" s="113"/>
      <c r="CN93" s="113"/>
      <c r="CO93" s="113"/>
      <c r="CP93" s="113"/>
      <c r="CQ93" s="113"/>
      <c r="CR93" s="113"/>
      <c r="CS93" s="113"/>
      <c r="CT93" s="113"/>
      <c r="CU93" s="113"/>
      <c r="CV93" s="113"/>
      <c r="CW93" s="113"/>
      <c r="CX93" s="113"/>
      <c r="CY93" s="113"/>
      <c r="CZ93" s="113"/>
      <c r="DA93" s="113"/>
      <c r="DB93" s="113"/>
      <c r="DC93" s="113"/>
      <c r="DD93" s="113"/>
    </row>
    <row r="94" spans="1:108" ht="33" customHeight="1">
      <c r="A94" s="411"/>
      <c r="C94" s="115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3"/>
      <c r="BX94" s="113"/>
      <c r="BY94" s="113"/>
      <c r="BZ94" s="113"/>
      <c r="CA94" s="113"/>
      <c r="CB94" s="113"/>
      <c r="CC94" s="113"/>
      <c r="CD94" s="113"/>
      <c r="CE94" s="113"/>
      <c r="CF94" s="113"/>
      <c r="CG94" s="113"/>
      <c r="CH94" s="113"/>
      <c r="CI94" s="113"/>
      <c r="CJ94" s="113"/>
      <c r="CK94" s="113"/>
      <c r="CL94" s="113"/>
      <c r="CM94" s="113"/>
      <c r="CN94" s="113"/>
      <c r="CO94" s="113"/>
      <c r="CP94" s="113"/>
      <c r="CQ94" s="113"/>
      <c r="CR94" s="113"/>
      <c r="CS94" s="113"/>
      <c r="CT94" s="113"/>
      <c r="CU94" s="113"/>
      <c r="CV94" s="113"/>
      <c r="CW94" s="113"/>
      <c r="CX94" s="113"/>
      <c r="CY94" s="113"/>
      <c r="CZ94" s="113"/>
      <c r="DA94" s="113"/>
      <c r="DB94" s="113"/>
      <c r="DC94" s="113"/>
      <c r="DD94" s="113"/>
    </row>
    <row r="95" spans="1:108" ht="33" customHeight="1">
      <c r="A95" s="411"/>
      <c r="C95" s="115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113"/>
      <c r="BQ95" s="113"/>
      <c r="BR95" s="113"/>
      <c r="BS95" s="113"/>
      <c r="BT95" s="113"/>
      <c r="BU95" s="113"/>
      <c r="BV95" s="113"/>
      <c r="BW95" s="113"/>
      <c r="BX95" s="113"/>
      <c r="BY95" s="113"/>
      <c r="BZ95" s="113"/>
      <c r="CA95" s="113"/>
      <c r="CB95" s="113"/>
      <c r="CC95" s="113"/>
      <c r="CD95" s="113"/>
      <c r="CE95" s="113"/>
      <c r="CF95" s="113"/>
      <c r="CG95" s="113"/>
      <c r="CH95" s="113"/>
      <c r="CI95" s="113"/>
      <c r="CJ95" s="113"/>
      <c r="CK95" s="113"/>
      <c r="CL95" s="113"/>
      <c r="CM95" s="113"/>
      <c r="CN95" s="113"/>
      <c r="CO95" s="113"/>
      <c r="CP95" s="113"/>
      <c r="CQ95" s="113"/>
      <c r="CR95" s="113"/>
      <c r="CS95" s="113"/>
      <c r="CT95" s="113"/>
      <c r="CU95" s="113"/>
      <c r="CV95" s="113"/>
      <c r="CW95" s="113"/>
      <c r="CX95" s="113"/>
      <c r="CY95" s="113"/>
      <c r="CZ95" s="113"/>
      <c r="DA95" s="113"/>
      <c r="DB95" s="113"/>
      <c r="DC95" s="113"/>
      <c r="DD95" s="113"/>
    </row>
    <row r="96" spans="1:108" ht="33" customHeight="1">
      <c r="A96" s="411"/>
      <c r="C96" s="115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  <c r="AV96" s="113"/>
      <c r="AW96" s="113"/>
      <c r="AX96" s="113"/>
      <c r="AY96" s="113"/>
      <c r="AZ96" s="113"/>
      <c r="BA96" s="113"/>
      <c r="BB96" s="113"/>
      <c r="BC96" s="113"/>
      <c r="BD96" s="113"/>
      <c r="BE96" s="113"/>
      <c r="BF96" s="113"/>
      <c r="BG96" s="113"/>
      <c r="BH96" s="113"/>
      <c r="BI96" s="113"/>
      <c r="BJ96" s="113"/>
      <c r="BK96" s="113"/>
      <c r="BL96" s="113"/>
      <c r="BM96" s="113"/>
      <c r="BN96" s="113"/>
      <c r="BO96" s="113"/>
      <c r="BP96" s="113"/>
      <c r="BQ96" s="113"/>
      <c r="BR96" s="113"/>
      <c r="BS96" s="113"/>
      <c r="BT96" s="113"/>
      <c r="BU96" s="113"/>
      <c r="BV96" s="113"/>
      <c r="BW96" s="113"/>
      <c r="BX96" s="113"/>
      <c r="BY96" s="113"/>
      <c r="BZ96" s="113"/>
      <c r="CA96" s="113"/>
      <c r="CB96" s="113"/>
      <c r="CC96" s="113"/>
      <c r="CD96" s="113"/>
      <c r="CE96" s="113"/>
      <c r="CF96" s="113"/>
      <c r="CG96" s="113"/>
      <c r="CH96" s="113"/>
      <c r="CI96" s="113"/>
      <c r="CJ96" s="113"/>
      <c r="CK96" s="113"/>
      <c r="CL96" s="113"/>
      <c r="CM96" s="113"/>
      <c r="CN96" s="113"/>
      <c r="CO96" s="113"/>
      <c r="CP96" s="113"/>
      <c r="CQ96" s="113"/>
      <c r="CR96" s="113"/>
      <c r="CS96" s="113"/>
      <c r="CT96" s="113"/>
      <c r="CU96" s="113"/>
      <c r="CV96" s="113"/>
      <c r="CW96" s="113"/>
      <c r="CX96" s="113"/>
      <c r="CY96" s="113"/>
      <c r="CZ96" s="113"/>
      <c r="DA96" s="113"/>
      <c r="DB96" s="113"/>
      <c r="DC96" s="113"/>
      <c r="DD96" s="113"/>
    </row>
    <row r="97" spans="1:108" ht="33" customHeight="1">
      <c r="A97" s="411"/>
      <c r="C97" s="115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3"/>
      <c r="BG97" s="113"/>
      <c r="BH97" s="113"/>
      <c r="BI97" s="113"/>
      <c r="BJ97" s="113"/>
      <c r="BK97" s="113"/>
      <c r="BL97" s="113"/>
      <c r="BM97" s="113"/>
      <c r="BN97" s="113"/>
      <c r="BO97" s="113"/>
      <c r="BP97" s="113"/>
      <c r="BQ97" s="113"/>
      <c r="BR97" s="113"/>
      <c r="BS97" s="113"/>
      <c r="BT97" s="113"/>
      <c r="BU97" s="113"/>
      <c r="BV97" s="113"/>
      <c r="BW97" s="113"/>
      <c r="BX97" s="113"/>
      <c r="BY97" s="113"/>
      <c r="BZ97" s="113"/>
      <c r="CA97" s="113"/>
      <c r="CB97" s="113"/>
      <c r="CC97" s="113"/>
      <c r="CD97" s="113"/>
      <c r="CE97" s="113"/>
      <c r="CF97" s="113"/>
      <c r="CG97" s="113"/>
      <c r="CH97" s="113"/>
      <c r="CI97" s="113"/>
      <c r="CJ97" s="113"/>
      <c r="CK97" s="113"/>
      <c r="CL97" s="113"/>
      <c r="CM97" s="113"/>
      <c r="CN97" s="113"/>
      <c r="CO97" s="113"/>
      <c r="CP97" s="113"/>
      <c r="CQ97" s="113"/>
      <c r="CR97" s="113"/>
      <c r="CS97" s="113"/>
      <c r="CT97" s="113"/>
      <c r="CU97" s="113"/>
      <c r="CV97" s="113"/>
      <c r="CW97" s="113"/>
      <c r="CX97" s="113"/>
      <c r="CY97" s="113"/>
      <c r="CZ97" s="113"/>
      <c r="DA97" s="113"/>
      <c r="DB97" s="113"/>
      <c r="DC97" s="113"/>
      <c r="DD97" s="113"/>
    </row>
    <row r="98" spans="1:108" ht="33" customHeight="1">
      <c r="A98" s="411"/>
      <c r="C98" s="115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3"/>
      <c r="AZ98" s="113"/>
      <c r="BA98" s="113"/>
      <c r="BB98" s="113"/>
      <c r="BC98" s="113"/>
      <c r="BD98" s="113"/>
      <c r="BE98" s="113"/>
      <c r="BF98" s="113"/>
      <c r="BG98" s="113"/>
      <c r="BH98" s="113"/>
      <c r="BI98" s="113"/>
      <c r="BJ98" s="113"/>
      <c r="BK98" s="113"/>
      <c r="BL98" s="113"/>
      <c r="BM98" s="113"/>
      <c r="BN98" s="113"/>
      <c r="BO98" s="113"/>
      <c r="BP98" s="113"/>
      <c r="BQ98" s="113"/>
      <c r="BR98" s="113"/>
      <c r="BS98" s="113"/>
      <c r="BT98" s="113"/>
      <c r="BU98" s="113"/>
      <c r="BV98" s="113"/>
      <c r="BW98" s="113"/>
      <c r="BX98" s="113"/>
      <c r="BY98" s="113"/>
      <c r="BZ98" s="113"/>
      <c r="CA98" s="113"/>
      <c r="CB98" s="113"/>
      <c r="CC98" s="113"/>
      <c r="CD98" s="113"/>
      <c r="CE98" s="113"/>
      <c r="CF98" s="113"/>
      <c r="CG98" s="113"/>
      <c r="CH98" s="113"/>
      <c r="CI98" s="113"/>
      <c r="CJ98" s="113"/>
      <c r="CK98" s="113"/>
      <c r="CL98" s="113"/>
      <c r="CM98" s="113"/>
      <c r="CN98" s="113"/>
      <c r="CO98" s="113"/>
      <c r="CP98" s="113"/>
      <c r="CQ98" s="113"/>
      <c r="CR98" s="113"/>
      <c r="CS98" s="113"/>
      <c r="CT98" s="113"/>
      <c r="CU98" s="113"/>
      <c r="CV98" s="113"/>
      <c r="CW98" s="113"/>
      <c r="CX98" s="113"/>
      <c r="CY98" s="113"/>
      <c r="CZ98" s="113"/>
      <c r="DA98" s="113"/>
      <c r="DB98" s="113"/>
      <c r="DC98" s="113"/>
      <c r="DD98" s="113"/>
    </row>
    <row r="99" spans="1:108" ht="33" customHeight="1">
      <c r="A99" s="411"/>
      <c r="C99" s="115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  <c r="AU99" s="113"/>
      <c r="AV99" s="113"/>
      <c r="AW99" s="113"/>
      <c r="AX99" s="113"/>
      <c r="AY99" s="113"/>
      <c r="AZ99" s="113"/>
      <c r="BA99" s="113"/>
      <c r="BB99" s="113"/>
      <c r="BC99" s="113"/>
      <c r="BD99" s="113"/>
      <c r="BE99" s="113"/>
      <c r="BF99" s="113"/>
      <c r="BG99" s="113"/>
      <c r="BH99" s="113"/>
      <c r="BI99" s="113"/>
      <c r="BJ99" s="113"/>
      <c r="BK99" s="113"/>
      <c r="BL99" s="113"/>
      <c r="BM99" s="113"/>
      <c r="BN99" s="113"/>
      <c r="BO99" s="113"/>
      <c r="BP99" s="113"/>
      <c r="BQ99" s="113"/>
      <c r="BR99" s="113"/>
      <c r="BS99" s="113"/>
      <c r="BT99" s="113"/>
      <c r="BU99" s="113"/>
      <c r="BV99" s="113"/>
      <c r="BW99" s="113"/>
      <c r="BX99" s="113"/>
      <c r="BY99" s="113"/>
      <c r="BZ99" s="113"/>
      <c r="CA99" s="113"/>
      <c r="CB99" s="113"/>
      <c r="CC99" s="113"/>
      <c r="CD99" s="113"/>
      <c r="CE99" s="113"/>
      <c r="CF99" s="113"/>
      <c r="CG99" s="113"/>
      <c r="CH99" s="113"/>
      <c r="CI99" s="113"/>
      <c r="CJ99" s="113"/>
      <c r="CK99" s="113"/>
      <c r="CL99" s="113"/>
      <c r="CM99" s="113"/>
      <c r="CN99" s="113"/>
      <c r="CO99" s="113"/>
      <c r="CP99" s="113"/>
      <c r="CQ99" s="113"/>
      <c r="CR99" s="113"/>
      <c r="CS99" s="113"/>
      <c r="CT99" s="113"/>
      <c r="CU99" s="113"/>
      <c r="CV99" s="113"/>
      <c r="CW99" s="113"/>
      <c r="CX99" s="113"/>
      <c r="CY99" s="113"/>
      <c r="CZ99" s="113"/>
      <c r="DA99" s="113"/>
      <c r="DB99" s="113"/>
      <c r="DC99" s="113"/>
      <c r="DD99" s="113"/>
    </row>
    <row r="100" spans="1:108" ht="33" customHeight="1">
      <c r="A100" s="411"/>
      <c r="C100" s="115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113"/>
      <c r="AT100" s="113"/>
      <c r="AU100" s="113"/>
      <c r="AV100" s="113"/>
      <c r="AW100" s="113"/>
      <c r="AX100" s="113"/>
      <c r="AY100" s="113"/>
      <c r="AZ100" s="113"/>
      <c r="BA100" s="113"/>
      <c r="BB100" s="113"/>
      <c r="BC100" s="113"/>
      <c r="BD100" s="113"/>
      <c r="BE100" s="113"/>
      <c r="BF100" s="113"/>
      <c r="BG100" s="113"/>
      <c r="BH100" s="113"/>
      <c r="BI100" s="113"/>
      <c r="BJ100" s="113"/>
      <c r="BK100" s="113"/>
      <c r="BL100" s="113"/>
      <c r="BM100" s="113"/>
      <c r="BN100" s="113"/>
      <c r="BO100" s="113"/>
      <c r="BP100" s="113"/>
      <c r="BQ100" s="113"/>
      <c r="BR100" s="113"/>
      <c r="BS100" s="113"/>
      <c r="BT100" s="113"/>
      <c r="BU100" s="113"/>
      <c r="BV100" s="113"/>
      <c r="BW100" s="113"/>
      <c r="BX100" s="113"/>
      <c r="BY100" s="113"/>
      <c r="BZ100" s="113"/>
      <c r="CA100" s="113"/>
      <c r="CB100" s="113"/>
      <c r="CC100" s="113"/>
      <c r="CD100" s="113"/>
      <c r="CE100" s="113"/>
      <c r="CF100" s="113"/>
      <c r="CG100" s="113"/>
      <c r="CH100" s="113"/>
      <c r="CI100" s="113"/>
      <c r="CJ100" s="113"/>
      <c r="CK100" s="113"/>
      <c r="CL100" s="113"/>
      <c r="CM100" s="113"/>
      <c r="CN100" s="113"/>
      <c r="CO100" s="113"/>
      <c r="CP100" s="113"/>
      <c r="CQ100" s="113"/>
      <c r="CR100" s="113"/>
      <c r="CS100" s="113"/>
      <c r="CT100" s="113"/>
      <c r="CU100" s="113"/>
      <c r="CV100" s="113"/>
      <c r="CW100" s="113"/>
      <c r="CX100" s="113"/>
      <c r="CY100" s="113"/>
      <c r="CZ100" s="113"/>
      <c r="DA100" s="113"/>
      <c r="DB100" s="113"/>
      <c r="DC100" s="113"/>
      <c r="DD100" s="113"/>
    </row>
    <row r="101" spans="1:108">
      <c r="A101" s="411"/>
      <c r="C101" s="115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13"/>
      <c r="AU101" s="113"/>
      <c r="AV101" s="113"/>
      <c r="AW101" s="113"/>
      <c r="AX101" s="113"/>
      <c r="AY101" s="113"/>
      <c r="AZ101" s="113"/>
      <c r="BA101" s="113"/>
      <c r="BB101" s="113"/>
      <c r="BC101" s="113"/>
      <c r="BD101" s="113"/>
      <c r="BE101" s="113"/>
      <c r="BF101" s="113"/>
      <c r="BG101" s="113"/>
      <c r="BH101" s="113"/>
      <c r="BI101" s="113"/>
      <c r="BJ101" s="113"/>
      <c r="BK101" s="113"/>
      <c r="BL101" s="113"/>
      <c r="BM101" s="113"/>
      <c r="BN101" s="113"/>
      <c r="BO101" s="113"/>
      <c r="BP101" s="113"/>
      <c r="BQ101" s="113"/>
      <c r="BR101" s="113"/>
      <c r="BS101" s="113"/>
      <c r="BT101" s="113"/>
      <c r="BU101" s="113"/>
      <c r="BV101" s="113"/>
      <c r="BW101" s="113"/>
      <c r="BX101" s="113"/>
      <c r="BY101" s="113"/>
      <c r="BZ101" s="113"/>
      <c r="CA101" s="113"/>
      <c r="CB101" s="113"/>
      <c r="CC101" s="113"/>
      <c r="CD101" s="113"/>
      <c r="CE101" s="113"/>
      <c r="CF101" s="113"/>
      <c r="CG101" s="113"/>
      <c r="CH101" s="113"/>
      <c r="CI101" s="113"/>
      <c r="CJ101" s="113"/>
      <c r="CK101" s="113"/>
      <c r="CL101" s="113"/>
      <c r="CM101" s="113"/>
      <c r="CN101" s="113"/>
      <c r="CO101" s="113"/>
      <c r="CP101" s="113"/>
      <c r="CQ101" s="113"/>
      <c r="CR101" s="113"/>
      <c r="CS101" s="113"/>
      <c r="CT101" s="113"/>
      <c r="CU101" s="113"/>
      <c r="CV101" s="113"/>
      <c r="CW101" s="113"/>
      <c r="CX101" s="113"/>
      <c r="CY101" s="113"/>
      <c r="CZ101" s="113"/>
      <c r="DA101" s="113"/>
      <c r="DB101" s="113"/>
      <c r="DC101" s="113"/>
      <c r="DD101" s="113"/>
    </row>
    <row r="102" spans="1:108">
      <c r="A102" s="411"/>
      <c r="C102" s="115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113"/>
      <c r="AT102" s="113"/>
      <c r="AU102" s="113"/>
      <c r="AV102" s="113"/>
      <c r="AW102" s="113"/>
      <c r="AX102" s="113"/>
      <c r="AY102" s="113"/>
      <c r="AZ102" s="113"/>
      <c r="BA102" s="113"/>
      <c r="BB102" s="113"/>
      <c r="BC102" s="113"/>
      <c r="BD102" s="113"/>
      <c r="BE102" s="113"/>
      <c r="BF102" s="113"/>
      <c r="BG102" s="113"/>
      <c r="BH102" s="113"/>
      <c r="BI102" s="113"/>
      <c r="BJ102" s="113"/>
      <c r="BK102" s="113"/>
      <c r="BL102" s="113"/>
      <c r="BM102" s="113"/>
      <c r="BN102" s="113"/>
      <c r="BO102" s="113"/>
      <c r="BP102" s="113"/>
      <c r="BQ102" s="113"/>
      <c r="BR102" s="113"/>
      <c r="BS102" s="113"/>
      <c r="BT102" s="113"/>
      <c r="BU102" s="113"/>
      <c r="BV102" s="113"/>
      <c r="BW102" s="113"/>
      <c r="BX102" s="113"/>
      <c r="BY102" s="113"/>
      <c r="BZ102" s="113"/>
      <c r="CA102" s="113"/>
      <c r="CB102" s="113"/>
      <c r="CC102" s="113"/>
      <c r="CD102" s="113"/>
      <c r="CE102" s="113"/>
      <c r="CF102" s="113"/>
      <c r="CG102" s="113"/>
      <c r="CH102" s="113"/>
      <c r="CI102" s="113"/>
      <c r="CJ102" s="113"/>
      <c r="CK102" s="113"/>
      <c r="CL102" s="113"/>
      <c r="CM102" s="113"/>
      <c r="CN102" s="113"/>
      <c r="CO102" s="113"/>
      <c r="CP102" s="113"/>
      <c r="CQ102" s="113"/>
      <c r="CR102" s="113"/>
      <c r="CS102" s="113"/>
      <c r="CT102" s="113"/>
      <c r="CU102" s="113"/>
      <c r="CV102" s="113"/>
      <c r="CW102" s="113"/>
      <c r="CX102" s="113"/>
      <c r="CY102" s="113"/>
      <c r="CZ102" s="113"/>
      <c r="DA102" s="113"/>
      <c r="DB102" s="113"/>
      <c r="DC102" s="113"/>
      <c r="DD102" s="113"/>
    </row>
    <row r="103" spans="1:108">
      <c r="A103" s="411"/>
      <c r="C103" s="115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13"/>
      <c r="AU103" s="113"/>
      <c r="AV103" s="113"/>
      <c r="AW103" s="113"/>
      <c r="AX103" s="113"/>
      <c r="AY103" s="113"/>
      <c r="AZ103" s="113"/>
      <c r="BA103" s="113"/>
      <c r="BB103" s="113"/>
      <c r="BC103" s="113"/>
      <c r="BD103" s="113"/>
      <c r="BE103" s="113"/>
      <c r="BF103" s="113"/>
      <c r="BG103" s="113"/>
      <c r="BH103" s="113"/>
      <c r="BI103" s="113"/>
      <c r="BJ103" s="113"/>
      <c r="BK103" s="113"/>
      <c r="BL103" s="113"/>
      <c r="BM103" s="113"/>
      <c r="BN103" s="113"/>
      <c r="BO103" s="113"/>
      <c r="BP103" s="113"/>
      <c r="BQ103" s="113"/>
      <c r="BR103" s="113"/>
      <c r="BS103" s="113"/>
      <c r="BT103" s="113"/>
      <c r="BU103" s="113"/>
      <c r="BV103" s="113"/>
      <c r="BW103" s="113"/>
      <c r="BX103" s="113"/>
      <c r="BY103" s="113"/>
      <c r="BZ103" s="113"/>
      <c r="CA103" s="113"/>
      <c r="CB103" s="113"/>
      <c r="CC103" s="113"/>
      <c r="CD103" s="113"/>
      <c r="CE103" s="113"/>
      <c r="CF103" s="113"/>
      <c r="CG103" s="113"/>
      <c r="CH103" s="113"/>
      <c r="CI103" s="113"/>
      <c r="CJ103" s="113"/>
      <c r="CK103" s="113"/>
      <c r="CL103" s="113"/>
      <c r="CM103" s="113"/>
      <c r="CN103" s="113"/>
      <c r="CO103" s="113"/>
      <c r="CP103" s="113"/>
      <c r="CQ103" s="113"/>
      <c r="CR103" s="113"/>
      <c r="CS103" s="113"/>
      <c r="CT103" s="113"/>
      <c r="CU103" s="113"/>
      <c r="CV103" s="113"/>
      <c r="CW103" s="113"/>
      <c r="CX103" s="113"/>
      <c r="CY103" s="113"/>
      <c r="CZ103" s="113"/>
      <c r="DA103" s="113"/>
      <c r="DB103" s="113"/>
      <c r="DC103" s="113"/>
      <c r="DD103" s="113"/>
    </row>
    <row r="104" spans="1:108">
      <c r="A104" s="411"/>
      <c r="C104" s="115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/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/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3"/>
      <c r="CA104" s="113"/>
      <c r="CB104" s="113"/>
      <c r="CC104" s="113"/>
      <c r="CD104" s="113"/>
      <c r="CE104" s="113"/>
      <c r="CF104" s="113"/>
      <c r="CG104" s="113"/>
      <c r="CH104" s="113"/>
      <c r="CI104" s="113"/>
      <c r="CJ104" s="113"/>
      <c r="CK104" s="113"/>
      <c r="CL104" s="113"/>
      <c r="CM104" s="113"/>
      <c r="CN104" s="113"/>
      <c r="CO104" s="113"/>
      <c r="CP104" s="113"/>
      <c r="CQ104" s="113"/>
      <c r="CR104" s="113"/>
      <c r="CS104" s="113"/>
      <c r="CT104" s="113"/>
      <c r="CU104" s="113"/>
      <c r="CV104" s="113"/>
      <c r="CW104" s="113"/>
      <c r="CX104" s="113"/>
      <c r="CY104" s="113"/>
      <c r="CZ104" s="113"/>
      <c r="DA104" s="113"/>
      <c r="DB104" s="113"/>
      <c r="DC104" s="113"/>
      <c r="DD104" s="113"/>
    </row>
  </sheetData>
  <autoFilter ref="A11:D60" xr:uid="{6D8B77D7-2644-4896-B769-36671C62A81D}"/>
  <pageMargins left="0.7" right="0.7" top="0.75" bottom="0.75" header="0.3" footer="0.3"/>
  <pageSetup orientation="portrait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F7AE-4507-4866-AD22-557EC954A480}">
  <sheetPr>
    <tabColor theme="0"/>
  </sheetPr>
  <dimension ref="A1:FO15"/>
  <sheetViews>
    <sheetView workbookViewId="0">
      <pane xSplit="2" ySplit="6" topLeftCell="C18" activePane="bottomRight" state="frozen"/>
      <selection pane="topRight" activeCell="C1" sqref="C1"/>
      <selection pane="bottomLeft" activeCell="A42" sqref="A42"/>
      <selection pane="bottomRight" activeCell="B18" sqref="B18"/>
    </sheetView>
  </sheetViews>
  <sheetFormatPr defaultColWidth="8" defaultRowHeight="11.25"/>
  <cols>
    <col min="1" max="1" width="15.7109375" style="116" customWidth="1"/>
    <col min="2" max="2" width="26.42578125" style="40" customWidth="1"/>
    <col min="3" max="3" width="21.28515625" style="15" customWidth="1"/>
    <col min="4" max="97" width="13.7109375" style="15" customWidth="1"/>
    <col min="98" max="98" width="13.7109375" style="19" customWidth="1"/>
    <col min="99" max="99" width="8" style="15"/>
    <col min="100" max="100" width="12" style="15" bestFit="1" customWidth="1"/>
    <col min="101" max="16384" width="8" style="15"/>
  </cols>
  <sheetData>
    <row r="1" spans="1:171" ht="10.15" customHeight="1">
      <c r="B1" s="11" t="s">
        <v>106</v>
      </c>
      <c r="C1" s="12" t="s">
        <v>166</v>
      </c>
      <c r="D1" s="150"/>
      <c r="E1" s="14" t="s">
        <v>108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6"/>
    </row>
    <row r="2" spans="1:171" ht="10.15" customHeight="1">
      <c r="B2" s="11" t="s">
        <v>109</v>
      </c>
      <c r="C2" s="18" t="s">
        <v>560</v>
      </c>
      <c r="D2" s="151"/>
      <c r="E2" s="14" t="s">
        <v>110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6"/>
    </row>
    <row r="3" spans="1:171" ht="10.15" customHeight="1">
      <c r="B3" s="11" t="s">
        <v>111</v>
      </c>
      <c r="C3" s="18"/>
      <c r="D3" s="152"/>
      <c r="E3" s="14" t="s">
        <v>112</v>
      </c>
    </row>
    <row r="4" spans="1:171">
      <c r="B4" s="11" t="s">
        <v>113</v>
      </c>
      <c r="C4" s="175">
        <f>'OUT - TEP - Sales Call'!C4</f>
        <v>45947</v>
      </c>
      <c r="D4" s="20" t="s">
        <v>114</v>
      </c>
      <c r="E4" s="20" t="s">
        <v>114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</row>
    <row r="5" spans="1:171" s="187" customFormat="1" ht="18.75">
      <c r="A5" s="186"/>
      <c r="D5" s="350" t="s">
        <v>20</v>
      </c>
      <c r="E5" s="295" t="s">
        <v>21</v>
      </c>
      <c r="F5" s="353" t="s">
        <v>22</v>
      </c>
      <c r="G5" s="295" t="s">
        <v>23</v>
      </c>
      <c r="H5" s="353" t="s">
        <v>24</v>
      </c>
      <c r="I5" s="295" t="s">
        <v>25</v>
      </c>
      <c r="J5" s="295" t="s">
        <v>26</v>
      </c>
      <c r="K5" s="350" t="s">
        <v>20</v>
      </c>
      <c r="L5" s="295" t="s">
        <v>21</v>
      </c>
      <c r="M5" s="353" t="s">
        <v>22</v>
      </c>
      <c r="N5" s="295" t="s">
        <v>23</v>
      </c>
      <c r="O5" s="353" t="s">
        <v>24</v>
      </c>
      <c r="P5" s="295" t="s">
        <v>25</v>
      </c>
      <c r="Q5" s="295" t="s">
        <v>26</v>
      </c>
      <c r="R5" s="350" t="s">
        <v>20</v>
      </c>
      <c r="S5" s="295" t="s">
        <v>21</v>
      </c>
      <c r="T5" s="353" t="s">
        <v>22</v>
      </c>
      <c r="U5" s="295" t="s">
        <v>23</v>
      </c>
      <c r="V5" s="353" t="s">
        <v>24</v>
      </c>
      <c r="W5" s="295" t="s">
        <v>25</v>
      </c>
      <c r="X5" s="295" t="s">
        <v>26</v>
      </c>
      <c r="Y5" s="350" t="s">
        <v>20</v>
      </c>
      <c r="Z5" s="295" t="s">
        <v>21</v>
      </c>
      <c r="AA5" s="353" t="s">
        <v>22</v>
      </c>
      <c r="AB5" s="295" t="s">
        <v>23</v>
      </c>
      <c r="AC5" s="353" t="s">
        <v>24</v>
      </c>
      <c r="AD5" s="295" t="s">
        <v>25</v>
      </c>
      <c r="AE5" s="295" t="s">
        <v>26</v>
      </c>
      <c r="AF5" s="350" t="s">
        <v>20</v>
      </c>
      <c r="AG5" s="295" t="s">
        <v>21</v>
      </c>
      <c r="AH5" s="353" t="s">
        <v>22</v>
      </c>
      <c r="AI5" s="295" t="s">
        <v>23</v>
      </c>
      <c r="AJ5" s="353" t="s">
        <v>24</v>
      </c>
      <c r="AK5" s="295" t="s">
        <v>25</v>
      </c>
      <c r="AL5" s="295" t="s">
        <v>26</v>
      </c>
      <c r="AM5" s="350" t="s">
        <v>20</v>
      </c>
      <c r="AN5" s="295" t="s">
        <v>21</v>
      </c>
      <c r="AO5" s="353" t="s">
        <v>22</v>
      </c>
      <c r="AP5" s="295" t="s">
        <v>23</v>
      </c>
      <c r="AQ5" s="353" t="s">
        <v>24</v>
      </c>
      <c r="AR5" s="295" t="s">
        <v>25</v>
      </c>
      <c r="AS5" s="295" t="s">
        <v>26</v>
      </c>
      <c r="AT5" s="350" t="s">
        <v>20</v>
      </c>
      <c r="AU5" s="295" t="s">
        <v>21</v>
      </c>
      <c r="AV5" s="353" t="s">
        <v>22</v>
      </c>
      <c r="AW5" s="295" t="s">
        <v>23</v>
      </c>
      <c r="AX5" s="353" t="s">
        <v>24</v>
      </c>
      <c r="AY5" s="295" t="s">
        <v>25</v>
      </c>
      <c r="AZ5" s="295" t="s">
        <v>26</v>
      </c>
      <c r="BA5" s="350" t="s">
        <v>20</v>
      </c>
      <c r="BB5" s="295" t="s">
        <v>21</v>
      </c>
      <c r="BC5" s="353" t="s">
        <v>22</v>
      </c>
      <c r="BD5" s="295" t="s">
        <v>23</v>
      </c>
      <c r="BE5" s="353" t="s">
        <v>24</v>
      </c>
      <c r="BF5" s="295" t="s">
        <v>25</v>
      </c>
      <c r="BG5" s="295" t="s">
        <v>26</v>
      </c>
      <c r="BH5" s="350" t="s">
        <v>20</v>
      </c>
      <c r="BI5" s="295" t="s">
        <v>21</v>
      </c>
      <c r="BJ5" s="353" t="s">
        <v>22</v>
      </c>
      <c r="BK5" s="295" t="s">
        <v>23</v>
      </c>
      <c r="BL5" s="353" t="s">
        <v>24</v>
      </c>
      <c r="BM5" s="295" t="s">
        <v>25</v>
      </c>
      <c r="BN5" s="295" t="s">
        <v>26</v>
      </c>
      <c r="BO5" s="350" t="s">
        <v>20</v>
      </c>
      <c r="BP5" s="295" t="s">
        <v>21</v>
      </c>
      <c r="BQ5" s="353" t="s">
        <v>22</v>
      </c>
      <c r="BR5" s="295" t="s">
        <v>23</v>
      </c>
      <c r="BS5" s="353" t="s">
        <v>24</v>
      </c>
      <c r="BT5" s="295" t="s">
        <v>25</v>
      </c>
      <c r="BU5" s="295" t="s">
        <v>26</v>
      </c>
      <c r="BV5" s="350" t="s">
        <v>20</v>
      </c>
      <c r="BW5" s="295" t="s">
        <v>21</v>
      </c>
      <c r="BX5" s="353" t="s">
        <v>22</v>
      </c>
      <c r="BY5" s="295" t="s">
        <v>23</v>
      </c>
      <c r="BZ5" s="353" t="s">
        <v>24</v>
      </c>
      <c r="CA5" s="295" t="s">
        <v>25</v>
      </c>
      <c r="CB5" s="295" t="s">
        <v>26</v>
      </c>
      <c r="CC5" s="350" t="s">
        <v>20</v>
      </c>
      <c r="CD5" s="295" t="s">
        <v>21</v>
      </c>
      <c r="CE5" s="353" t="s">
        <v>22</v>
      </c>
      <c r="CF5" s="295" t="s">
        <v>23</v>
      </c>
      <c r="CG5" s="353" t="s">
        <v>24</v>
      </c>
      <c r="CH5" s="295" t="s">
        <v>25</v>
      </c>
      <c r="CI5" s="295" t="s">
        <v>26</v>
      </c>
      <c r="CJ5" s="350" t="s">
        <v>20</v>
      </c>
      <c r="CK5" s="295" t="s">
        <v>21</v>
      </c>
      <c r="CL5" s="353" t="s">
        <v>22</v>
      </c>
      <c r="CM5" s="295" t="s">
        <v>23</v>
      </c>
      <c r="CN5" s="353" t="s">
        <v>24</v>
      </c>
      <c r="CO5" s="295" t="s">
        <v>25</v>
      </c>
      <c r="CP5" s="295" t="s">
        <v>26</v>
      </c>
      <c r="CQ5" s="350" t="s">
        <v>20</v>
      </c>
      <c r="CR5" s="295" t="s">
        <v>21</v>
      </c>
      <c r="CS5" s="353" t="s">
        <v>22</v>
      </c>
      <c r="CT5" s="295" t="s">
        <v>23</v>
      </c>
      <c r="CU5" s="353" t="s">
        <v>24</v>
      </c>
      <c r="CV5" s="295" t="s">
        <v>25</v>
      </c>
      <c r="CW5" s="295" t="s">
        <v>26</v>
      </c>
      <c r="CX5" s="350" t="s">
        <v>20</v>
      </c>
      <c r="CY5" s="295" t="s">
        <v>21</v>
      </c>
      <c r="CZ5" s="353" t="s">
        <v>22</v>
      </c>
      <c r="DA5" s="295" t="s">
        <v>23</v>
      </c>
      <c r="DB5" s="353" t="s">
        <v>24</v>
      </c>
      <c r="DC5" s="295" t="s">
        <v>25</v>
      </c>
      <c r="DD5" s="295" t="s">
        <v>26</v>
      </c>
      <c r="DE5" s="350" t="s">
        <v>20</v>
      </c>
      <c r="DF5" s="295" t="s">
        <v>21</v>
      </c>
      <c r="DG5" s="353" t="s">
        <v>22</v>
      </c>
      <c r="DH5" s="295" t="s">
        <v>23</v>
      </c>
      <c r="DI5" s="353" t="s">
        <v>24</v>
      </c>
      <c r="DJ5" s="295" t="s">
        <v>25</v>
      </c>
      <c r="DK5" s="295" t="s">
        <v>26</v>
      </c>
      <c r="DL5" s="350" t="s">
        <v>20</v>
      </c>
      <c r="DM5" s="295" t="s">
        <v>21</v>
      </c>
      <c r="DN5" s="353" t="s">
        <v>22</v>
      </c>
      <c r="DO5" s="295" t="s">
        <v>23</v>
      </c>
      <c r="DP5" s="353" t="s">
        <v>24</v>
      </c>
      <c r="DQ5" s="295" t="s">
        <v>25</v>
      </c>
      <c r="DR5" s="295" t="s">
        <v>26</v>
      </c>
      <c r="DS5" s="350" t="s">
        <v>20</v>
      </c>
      <c r="DT5" s="295" t="s">
        <v>21</v>
      </c>
      <c r="DU5" s="353" t="s">
        <v>22</v>
      </c>
      <c r="DV5" s="295" t="s">
        <v>23</v>
      </c>
      <c r="DW5" s="353" t="s">
        <v>24</v>
      </c>
      <c r="DX5" s="295" t="s">
        <v>25</v>
      </c>
      <c r="DY5" s="295" t="s">
        <v>26</v>
      </c>
      <c r="DZ5" s="350" t="s">
        <v>20</v>
      </c>
      <c r="EA5" s="295" t="s">
        <v>21</v>
      </c>
      <c r="EB5" s="353" t="s">
        <v>22</v>
      </c>
      <c r="EC5" s="295" t="s">
        <v>23</v>
      </c>
      <c r="ED5" s="353" t="s">
        <v>24</v>
      </c>
      <c r="EE5" s="295" t="s">
        <v>25</v>
      </c>
      <c r="EF5" s="295" t="s">
        <v>26</v>
      </c>
      <c r="EG5" s="350" t="s">
        <v>20</v>
      </c>
      <c r="EH5" s="295" t="s">
        <v>21</v>
      </c>
      <c r="EI5" s="353" t="s">
        <v>22</v>
      </c>
      <c r="EJ5" s="295" t="s">
        <v>23</v>
      </c>
      <c r="EK5" s="353" t="s">
        <v>24</v>
      </c>
      <c r="EL5" s="295" t="s">
        <v>25</v>
      </c>
      <c r="EM5" s="295" t="s">
        <v>26</v>
      </c>
      <c r="EN5" s="350" t="s">
        <v>20</v>
      </c>
      <c r="EO5" s="295" t="s">
        <v>21</v>
      </c>
      <c r="EP5" s="353" t="s">
        <v>22</v>
      </c>
      <c r="EQ5" s="295" t="s">
        <v>23</v>
      </c>
      <c r="ER5" s="353" t="s">
        <v>24</v>
      </c>
      <c r="ES5" s="295" t="s">
        <v>25</v>
      </c>
      <c r="ET5" s="295" t="s">
        <v>26</v>
      </c>
      <c r="EU5" s="350" t="s">
        <v>20</v>
      </c>
      <c r="EV5" s="295" t="s">
        <v>21</v>
      </c>
      <c r="EW5" s="353" t="s">
        <v>22</v>
      </c>
      <c r="EX5" s="295" t="s">
        <v>23</v>
      </c>
      <c r="EY5" s="353" t="s">
        <v>24</v>
      </c>
      <c r="EZ5" s="295" t="s">
        <v>25</v>
      </c>
      <c r="FA5" s="295" t="s">
        <v>26</v>
      </c>
      <c r="FB5" s="350" t="s">
        <v>20</v>
      </c>
      <c r="FC5" s="295" t="s">
        <v>21</v>
      </c>
      <c r="FD5" s="353" t="s">
        <v>22</v>
      </c>
      <c r="FE5" s="295" t="s">
        <v>23</v>
      </c>
      <c r="FF5" s="353" t="s">
        <v>24</v>
      </c>
      <c r="FG5" s="295" t="s">
        <v>25</v>
      </c>
      <c r="FH5" s="295" t="s">
        <v>26</v>
      </c>
      <c r="FI5" s="350" t="s">
        <v>20</v>
      </c>
      <c r="FJ5" s="295" t="s">
        <v>21</v>
      </c>
      <c r="FK5" s="353" t="s">
        <v>22</v>
      </c>
      <c r="FL5" s="295" t="s">
        <v>23</v>
      </c>
      <c r="FM5" s="353" t="s">
        <v>24</v>
      </c>
      <c r="FN5" s="295" t="s">
        <v>25</v>
      </c>
    </row>
    <row r="6" spans="1:171" ht="33.75">
      <c r="A6" s="360" t="s">
        <v>561</v>
      </c>
      <c r="B6" s="360" t="s">
        <v>117</v>
      </c>
      <c r="C6" s="356" t="s">
        <v>118</v>
      </c>
      <c r="D6" s="152">
        <v>45704</v>
      </c>
      <c r="E6" s="302">
        <v>45705</v>
      </c>
      <c r="F6" s="151">
        <v>45706</v>
      </c>
      <c r="G6" s="302">
        <v>45707</v>
      </c>
      <c r="H6" s="151">
        <v>45708</v>
      </c>
      <c r="I6" s="302">
        <v>45709</v>
      </c>
      <c r="J6" s="302">
        <v>45710</v>
      </c>
      <c r="K6" s="152">
        <v>45711</v>
      </c>
      <c r="L6" s="302">
        <v>45712</v>
      </c>
      <c r="M6" s="151">
        <v>45713</v>
      </c>
      <c r="N6" s="302">
        <v>45714</v>
      </c>
      <c r="O6" s="151">
        <v>45715</v>
      </c>
      <c r="P6" s="302">
        <v>45716</v>
      </c>
      <c r="Q6" s="302">
        <v>45717</v>
      </c>
      <c r="R6" s="152">
        <v>45718</v>
      </c>
      <c r="S6" s="302">
        <v>45719</v>
      </c>
      <c r="T6" s="151">
        <v>45720</v>
      </c>
      <c r="U6" s="302">
        <v>45721</v>
      </c>
      <c r="V6" s="151">
        <v>45722</v>
      </c>
      <c r="W6" s="302">
        <v>45723</v>
      </c>
      <c r="X6" s="302">
        <v>45724</v>
      </c>
      <c r="Y6" s="152">
        <v>45725</v>
      </c>
      <c r="Z6" s="302">
        <v>45726</v>
      </c>
      <c r="AA6" s="151">
        <v>45727</v>
      </c>
      <c r="AB6" s="302">
        <v>45728</v>
      </c>
      <c r="AC6" s="151">
        <v>45729</v>
      </c>
      <c r="AD6" s="302">
        <v>45730</v>
      </c>
      <c r="AE6" s="302">
        <v>45731</v>
      </c>
      <c r="AF6" s="152">
        <v>45732</v>
      </c>
      <c r="AG6" s="302">
        <v>45733</v>
      </c>
      <c r="AH6" s="151">
        <v>45734</v>
      </c>
      <c r="AI6" s="302">
        <v>45735</v>
      </c>
      <c r="AJ6" s="151">
        <v>45736</v>
      </c>
      <c r="AK6" s="302">
        <v>45737</v>
      </c>
      <c r="AL6" s="302">
        <v>45738</v>
      </c>
      <c r="AM6" s="152">
        <v>45739</v>
      </c>
      <c r="AN6" s="302">
        <v>45740</v>
      </c>
      <c r="AO6" s="151">
        <v>45741</v>
      </c>
      <c r="AP6" s="302">
        <v>45742</v>
      </c>
      <c r="AQ6" s="151">
        <v>45743</v>
      </c>
      <c r="AR6" s="302">
        <v>45744</v>
      </c>
      <c r="AS6" s="302">
        <v>45745</v>
      </c>
      <c r="AT6" s="152">
        <v>45746</v>
      </c>
      <c r="AU6" s="302">
        <v>45747</v>
      </c>
      <c r="AV6" s="151">
        <v>45748</v>
      </c>
      <c r="AW6" s="302">
        <v>45749</v>
      </c>
      <c r="AX6" s="151">
        <v>45750</v>
      </c>
      <c r="AY6" s="302">
        <v>45751</v>
      </c>
      <c r="AZ6" s="302">
        <v>45752</v>
      </c>
      <c r="BA6" s="152">
        <v>45753</v>
      </c>
      <c r="BB6" s="302">
        <v>45754</v>
      </c>
      <c r="BC6" s="151">
        <v>45755</v>
      </c>
      <c r="BD6" s="302">
        <v>45756</v>
      </c>
      <c r="BE6" s="151">
        <v>45757</v>
      </c>
      <c r="BF6" s="302">
        <v>45758</v>
      </c>
      <c r="BG6" s="302">
        <v>45759</v>
      </c>
      <c r="BH6" s="152">
        <v>45760</v>
      </c>
      <c r="BI6" s="302">
        <v>45761</v>
      </c>
      <c r="BJ6" s="151">
        <v>45762</v>
      </c>
      <c r="BK6" s="302">
        <v>45763</v>
      </c>
      <c r="BL6" s="151">
        <v>45764</v>
      </c>
      <c r="BM6" s="302">
        <v>45765</v>
      </c>
      <c r="BN6" s="302">
        <v>45766</v>
      </c>
      <c r="BO6" s="152">
        <v>45767</v>
      </c>
      <c r="BP6" s="302">
        <v>45768</v>
      </c>
      <c r="BQ6" s="151">
        <v>45769</v>
      </c>
      <c r="BR6" s="302">
        <v>45770</v>
      </c>
      <c r="BS6" s="151">
        <v>45771</v>
      </c>
      <c r="BT6" s="302">
        <v>45772</v>
      </c>
      <c r="BU6" s="302">
        <v>45773</v>
      </c>
      <c r="BV6" s="152">
        <v>45774</v>
      </c>
      <c r="BW6" s="302">
        <v>45775</v>
      </c>
      <c r="BX6" s="151">
        <v>45776</v>
      </c>
      <c r="BY6" s="302">
        <v>45777</v>
      </c>
      <c r="BZ6" s="151">
        <v>45778</v>
      </c>
      <c r="CA6" s="302">
        <v>45779</v>
      </c>
      <c r="CB6" s="302">
        <v>45780</v>
      </c>
      <c r="CC6" s="152">
        <v>45781</v>
      </c>
      <c r="CD6" s="302">
        <v>45782</v>
      </c>
      <c r="CE6" s="151">
        <v>45783</v>
      </c>
      <c r="CF6" s="302">
        <v>45784</v>
      </c>
      <c r="CG6" s="151">
        <v>45785</v>
      </c>
      <c r="CH6" s="302">
        <v>45786</v>
      </c>
      <c r="CI6" s="302">
        <v>45787</v>
      </c>
      <c r="CJ6" s="152">
        <v>45788</v>
      </c>
      <c r="CK6" s="302">
        <v>45789</v>
      </c>
      <c r="CL6" s="151">
        <v>45790</v>
      </c>
      <c r="CM6" s="302">
        <v>45791</v>
      </c>
      <c r="CN6" s="151">
        <v>45792</v>
      </c>
      <c r="CO6" s="302">
        <v>45793</v>
      </c>
      <c r="CP6" s="302">
        <v>45794</v>
      </c>
      <c r="CQ6" s="152">
        <v>45795</v>
      </c>
      <c r="CR6" s="302">
        <v>45796</v>
      </c>
      <c r="CS6" s="346">
        <v>45797</v>
      </c>
      <c r="CT6" s="351">
        <v>45798</v>
      </c>
      <c r="CU6" s="346">
        <v>45799</v>
      </c>
      <c r="CV6" s="351">
        <v>45800</v>
      </c>
      <c r="CW6" s="351">
        <v>45801</v>
      </c>
      <c r="CX6" s="352">
        <v>45802</v>
      </c>
      <c r="CY6" s="351">
        <v>45803</v>
      </c>
      <c r="CZ6" s="346">
        <v>45804</v>
      </c>
      <c r="DA6" s="351">
        <v>45805</v>
      </c>
      <c r="DB6" s="346">
        <v>45806</v>
      </c>
      <c r="DC6" s="351">
        <v>45807</v>
      </c>
      <c r="DD6" s="351">
        <v>45808</v>
      </c>
      <c r="DE6" s="503">
        <v>45809</v>
      </c>
      <c r="DF6" s="302">
        <v>45810</v>
      </c>
      <c r="DG6" s="504">
        <v>45811</v>
      </c>
      <c r="DH6" s="302">
        <v>45812</v>
      </c>
      <c r="DI6" s="504">
        <v>45813</v>
      </c>
      <c r="DJ6" s="302">
        <v>45814</v>
      </c>
      <c r="DK6" s="302">
        <v>45815</v>
      </c>
      <c r="DL6" s="503">
        <v>45816</v>
      </c>
      <c r="DM6" s="302">
        <v>45817</v>
      </c>
      <c r="DN6" s="504">
        <v>45818</v>
      </c>
      <c r="DO6" s="302">
        <v>45819</v>
      </c>
      <c r="DP6" s="504">
        <v>45820</v>
      </c>
      <c r="DQ6" s="302">
        <v>45821</v>
      </c>
      <c r="DR6" s="302">
        <v>45822</v>
      </c>
      <c r="DS6" s="503">
        <v>45823</v>
      </c>
      <c r="DT6" s="302">
        <v>45824</v>
      </c>
      <c r="DU6" s="504">
        <v>45825</v>
      </c>
      <c r="DV6" s="302">
        <v>45826</v>
      </c>
      <c r="DW6" s="504">
        <v>45827</v>
      </c>
      <c r="DX6" s="302">
        <v>45828</v>
      </c>
      <c r="DY6" s="302">
        <v>45829</v>
      </c>
      <c r="DZ6" s="503">
        <v>45830</v>
      </c>
      <c r="EA6" s="302">
        <v>45831</v>
      </c>
      <c r="EB6" s="504">
        <v>45832</v>
      </c>
      <c r="EC6" s="302">
        <v>45833</v>
      </c>
      <c r="ED6" s="504">
        <v>45834</v>
      </c>
      <c r="EE6" s="302">
        <v>45835</v>
      </c>
      <c r="EF6" s="302">
        <v>45836</v>
      </c>
      <c r="EG6" s="503">
        <v>45837</v>
      </c>
      <c r="EH6" s="302">
        <v>45838</v>
      </c>
      <c r="EI6" s="504">
        <v>45839</v>
      </c>
      <c r="EJ6" s="302">
        <v>45840</v>
      </c>
      <c r="EK6" s="504">
        <v>45841</v>
      </c>
      <c r="EL6" s="302">
        <v>45842</v>
      </c>
      <c r="EM6" s="302">
        <v>45843</v>
      </c>
      <c r="EN6" s="503">
        <v>45844</v>
      </c>
      <c r="EO6" s="302">
        <v>45845</v>
      </c>
      <c r="EP6" s="504">
        <v>45846</v>
      </c>
      <c r="EQ6" s="302">
        <v>45847</v>
      </c>
      <c r="ER6" s="504">
        <v>45848</v>
      </c>
      <c r="ES6" s="302">
        <v>45849</v>
      </c>
      <c r="ET6" s="302">
        <v>45850</v>
      </c>
      <c r="EU6" s="503">
        <v>45851</v>
      </c>
      <c r="EV6" s="302">
        <v>45852</v>
      </c>
      <c r="EW6" s="504">
        <v>45853</v>
      </c>
      <c r="EX6" s="302">
        <v>45854</v>
      </c>
      <c r="EY6" s="504">
        <v>45855</v>
      </c>
      <c r="EZ6" s="302">
        <v>45856</v>
      </c>
      <c r="FA6" s="302">
        <v>45857</v>
      </c>
      <c r="FB6" s="503">
        <v>45858</v>
      </c>
      <c r="FC6" s="302">
        <v>45859</v>
      </c>
      <c r="FD6" s="504">
        <v>45860</v>
      </c>
      <c r="FE6" s="302">
        <v>45861</v>
      </c>
      <c r="FF6" s="504">
        <v>45862</v>
      </c>
      <c r="FG6" s="302">
        <v>45863</v>
      </c>
      <c r="FH6" s="302">
        <v>45864</v>
      </c>
      <c r="FI6" s="503">
        <v>45865</v>
      </c>
      <c r="FJ6" s="302">
        <v>45866</v>
      </c>
      <c r="FK6" s="504">
        <v>45867</v>
      </c>
      <c r="FL6" s="302">
        <v>45868</v>
      </c>
      <c r="FM6" s="504">
        <v>45869</v>
      </c>
      <c r="FN6" s="302">
        <v>45870</v>
      </c>
      <c r="FO6" s="349">
        <f>'OUT - TEP - Sales Call'!T7</f>
        <v>0</v>
      </c>
    </row>
    <row r="7" spans="1:171" ht="18.75" customHeight="1">
      <c r="A7" s="181"/>
      <c r="B7" s="179"/>
      <c r="C7" s="178"/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36">
        <v>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347">
        <f>SUM(D7:FN7)</f>
        <v>0</v>
      </c>
    </row>
    <row r="8" spans="1:171" ht="14.25" customHeight="1">
      <c r="A8" s="180"/>
      <c r="B8" s="170"/>
      <c r="C8" s="178"/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347">
        <f t="shared" ref="FO8:FO11" si="0">SUM(D8:FN8)</f>
        <v>0</v>
      </c>
    </row>
    <row r="9" spans="1:171">
      <c r="A9" s="182"/>
      <c r="B9" s="162"/>
      <c r="C9" s="26"/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347">
        <f t="shared" si="0"/>
        <v>0</v>
      </c>
    </row>
    <row r="10" spans="1:171">
      <c r="A10" s="182"/>
      <c r="B10" s="162"/>
      <c r="C10" s="26"/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36">
        <v>0</v>
      </c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347">
        <f t="shared" si="0"/>
        <v>0</v>
      </c>
    </row>
    <row r="11" spans="1:171">
      <c r="A11" s="182"/>
      <c r="B11" s="162"/>
      <c r="C11" s="26"/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36">
        <v>0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6"/>
      <c r="EG11" s="86"/>
      <c r="EH11" s="86"/>
      <c r="EI11" s="86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  <c r="FJ11" s="86"/>
      <c r="FK11" s="86"/>
      <c r="FL11" s="86"/>
      <c r="FM11" s="86"/>
      <c r="FN11" s="86"/>
      <c r="FO11" s="347">
        <f t="shared" si="0"/>
        <v>0</v>
      </c>
    </row>
    <row r="12" spans="1:171" ht="22.5">
      <c r="A12" s="183"/>
      <c r="B12" s="360" t="s">
        <v>562</v>
      </c>
      <c r="C12" s="29"/>
      <c r="D12" s="30">
        <f t="shared" ref="D12" si="1">SUM(D7:D11)</f>
        <v>0</v>
      </c>
      <c r="E12" s="30">
        <f>SUM(E7:E11)</f>
        <v>0</v>
      </c>
      <c r="F12" s="30">
        <f t="shared" ref="F12:BM12" si="2">SUM(F7:F11)</f>
        <v>0</v>
      </c>
      <c r="G12" s="30">
        <f t="shared" si="2"/>
        <v>0</v>
      </c>
      <c r="H12" s="30">
        <f t="shared" si="2"/>
        <v>0</v>
      </c>
      <c r="I12" s="30">
        <f t="shared" si="2"/>
        <v>0</v>
      </c>
      <c r="J12" s="30">
        <f t="shared" si="2"/>
        <v>0</v>
      </c>
      <c r="K12" s="30">
        <f t="shared" si="2"/>
        <v>0</v>
      </c>
      <c r="L12" s="30">
        <f t="shared" si="2"/>
        <v>0</v>
      </c>
      <c r="M12" s="30">
        <f t="shared" si="2"/>
        <v>0</v>
      </c>
      <c r="N12" s="30">
        <f t="shared" si="2"/>
        <v>0</v>
      </c>
      <c r="O12" s="30">
        <f t="shared" si="2"/>
        <v>0</v>
      </c>
      <c r="P12" s="30">
        <f t="shared" si="2"/>
        <v>0</v>
      </c>
      <c r="Q12" s="30">
        <f t="shared" si="2"/>
        <v>0</v>
      </c>
      <c r="R12" s="30">
        <f t="shared" si="2"/>
        <v>0</v>
      </c>
      <c r="S12" s="30">
        <f t="shared" si="2"/>
        <v>0</v>
      </c>
      <c r="T12" s="30">
        <f t="shared" si="2"/>
        <v>0</v>
      </c>
      <c r="U12" s="30">
        <f t="shared" si="2"/>
        <v>0</v>
      </c>
      <c r="V12" s="30">
        <f t="shared" si="2"/>
        <v>0</v>
      </c>
      <c r="W12" s="30">
        <f t="shared" si="2"/>
        <v>0</v>
      </c>
      <c r="X12" s="30">
        <f t="shared" si="2"/>
        <v>0</v>
      </c>
      <c r="Y12" s="30">
        <f t="shared" si="2"/>
        <v>0</v>
      </c>
      <c r="Z12" s="30">
        <f t="shared" si="2"/>
        <v>0</v>
      </c>
      <c r="AA12" s="30">
        <f t="shared" si="2"/>
        <v>0</v>
      </c>
      <c r="AB12" s="30">
        <f t="shared" si="2"/>
        <v>0</v>
      </c>
      <c r="AC12" s="30">
        <f t="shared" si="2"/>
        <v>0</v>
      </c>
      <c r="AD12" s="30">
        <f t="shared" si="2"/>
        <v>0</v>
      </c>
      <c r="AE12" s="30">
        <f t="shared" si="2"/>
        <v>0</v>
      </c>
      <c r="AF12" s="30">
        <f t="shared" si="2"/>
        <v>0</v>
      </c>
      <c r="AG12" s="30">
        <f t="shared" si="2"/>
        <v>0</v>
      </c>
      <c r="AH12" s="30">
        <f t="shared" si="2"/>
        <v>0</v>
      </c>
      <c r="AI12" s="30">
        <f t="shared" si="2"/>
        <v>0</v>
      </c>
      <c r="AJ12" s="30">
        <f t="shared" si="2"/>
        <v>0</v>
      </c>
      <c r="AK12" s="30">
        <f t="shared" si="2"/>
        <v>0</v>
      </c>
      <c r="AL12" s="30">
        <f t="shared" si="2"/>
        <v>0</v>
      </c>
      <c r="AM12" s="30">
        <f t="shared" si="2"/>
        <v>0</v>
      </c>
      <c r="AN12" s="30">
        <f t="shared" si="2"/>
        <v>0</v>
      </c>
      <c r="AO12" s="30">
        <f t="shared" si="2"/>
        <v>0</v>
      </c>
      <c r="AP12" s="30">
        <f t="shared" si="2"/>
        <v>0</v>
      </c>
      <c r="AQ12" s="30">
        <f t="shared" si="2"/>
        <v>0</v>
      </c>
      <c r="AR12" s="30">
        <f t="shared" si="2"/>
        <v>0</v>
      </c>
      <c r="AS12" s="30">
        <f t="shared" si="2"/>
        <v>0</v>
      </c>
      <c r="AT12" s="30">
        <f t="shared" si="2"/>
        <v>0</v>
      </c>
      <c r="AU12" s="30">
        <f t="shared" si="2"/>
        <v>0</v>
      </c>
      <c r="AV12" s="30">
        <f t="shared" si="2"/>
        <v>0</v>
      </c>
      <c r="AW12" s="30">
        <f t="shared" si="2"/>
        <v>0</v>
      </c>
      <c r="AX12" s="30">
        <f t="shared" si="2"/>
        <v>0</v>
      </c>
      <c r="AY12" s="30">
        <f t="shared" si="2"/>
        <v>0</v>
      </c>
      <c r="AZ12" s="30">
        <f t="shared" si="2"/>
        <v>0</v>
      </c>
      <c r="BA12" s="30">
        <f t="shared" si="2"/>
        <v>0</v>
      </c>
      <c r="BB12" s="30">
        <f t="shared" si="2"/>
        <v>0</v>
      </c>
      <c r="BC12" s="30">
        <f t="shared" si="2"/>
        <v>0</v>
      </c>
      <c r="BD12" s="30">
        <f t="shared" si="2"/>
        <v>0</v>
      </c>
      <c r="BE12" s="30">
        <f t="shared" si="2"/>
        <v>0</v>
      </c>
      <c r="BF12" s="30">
        <f t="shared" si="2"/>
        <v>0</v>
      </c>
      <c r="BG12" s="30">
        <f t="shared" si="2"/>
        <v>0</v>
      </c>
      <c r="BH12" s="30">
        <f t="shared" si="2"/>
        <v>0</v>
      </c>
      <c r="BI12" s="30">
        <f t="shared" si="2"/>
        <v>0</v>
      </c>
      <c r="BJ12" s="30">
        <f t="shared" si="2"/>
        <v>0</v>
      </c>
      <c r="BK12" s="30">
        <f t="shared" si="2"/>
        <v>0</v>
      </c>
      <c r="BL12" s="30">
        <f t="shared" si="2"/>
        <v>0</v>
      </c>
      <c r="BM12" s="30">
        <f t="shared" si="2"/>
        <v>0</v>
      </c>
      <c r="BN12" s="30">
        <f>SUM(BN7:BN11)</f>
        <v>0</v>
      </c>
      <c r="BO12" s="30">
        <f t="shared" ref="BO12:DC12" si="3">SUM(BO7:BO11)</f>
        <v>0</v>
      </c>
      <c r="BP12" s="30">
        <f t="shared" si="3"/>
        <v>0</v>
      </c>
      <c r="BQ12" s="30">
        <f t="shared" si="3"/>
        <v>0</v>
      </c>
      <c r="BR12" s="30">
        <f t="shared" si="3"/>
        <v>0</v>
      </c>
      <c r="BS12" s="30">
        <f t="shared" si="3"/>
        <v>0</v>
      </c>
      <c r="BT12" s="30">
        <f t="shared" si="3"/>
        <v>0</v>
      </c>
      <c r="BU12" s="30">
        <f t="shared" si="3"/>
        <v>0</v>
      </c>
      <c r="BV12" s="30">
        <f t="shared" si="3"/>
        <v>0</v>
      </c>
      <c r="BW12" s="30">
        <f t="shared" si="3"/>
        <v>0</v>
      </c>
      <c r="BX12" s="30">
        <f t="shared" si="3"/>
        <v>0</v>
      </c>
      <c r="BY12" s="30">
        <f t="shared" si="3"/>
        <v>0</v>
      </c>
      <c r="BZ12" s="30">
        <f t="shared" si="3"/>
        <v>0</v>
      </c>
      <c r="CA12" s="30">
        <f t="shared" si="3"/>
        <v>0</v>
      </c>
      <c r="CB12" s="30">
        <f t="shared" si="3"/>
        <v>0</v>
      </c>
      <c r="CC12" s="30">
        <f t="shared" si="3"/>
        <v>0</v>
      </c>
      <c r="CD12" s="30">
        <f t="shared" si="3"/>
        <v>0</v>
      </c>
      <c r="CE12" s="30">
        <f t="shared" si="3"/>
        <v>0</v>
      </c>
      <c r="CF12" s="30">
        <f t="shared" si="3"/>
        <v>0</v>
      </c>
      <c r="CG12" s="30">
        <f t="shared" si="3"/>
        <v>0</v>
      </c>
      <c r="CH12" s="30">
        <f t="shared" si="3"/>
        <v>0</v>
      </c>
      <c r="CI12" s="30">
        <f t="shared" si="3"/>
        <v>0</v>
      </c>
      <c r="CJ12" s="30">
        <f t="shared" si="3"/>
        <v>0</v>
      </c>
      <c r="CK12" s="30">
        <f t="shared" si="3"/>
        <v>0</v>
      </c>
      <c r="CL12" s="30">
        <f t="shared" si="3"/>
        <v>0</v>
      </c>
      <c r="CM12" s="30">
        <f t="shared" si="3"/>
        <v>0</v>
      </c>
      <c r="CN12" s="30">
        <f t="shared" si="3"/>
        <v>0</v>
      </c>
      <c r="CO12" s="30">
        <f t="shared" si="3"/>
        <v>0</v>
      </c>
      <c r="CP12" s="30">
        <f t="shared" si="3"/>
        <v>0</v>
      </c>
      <c r="CQ12" s="30">
        <f t="shared" si="3"/>
        <v>0</v>
      </c>
      <c r="CR12" s="30">
        <f t="shared" si="3"/>
        <v>0</v>
      </c>
      <c r="CS12" s="30">
        <f t="shared" si="3"/>
        <v>0</v>
      </c>
      <c r="CT12" s="357">
        <f t="shared" si="3"/>
        <v>0</v>
      </c>
      <c r="CU12" s="357">
        <f t="shared" si="3"/>
        <v>0</v>
      </c>
      <c r="CV12" s="357">
        <f t="shared" si="3"/>
        <v>0</v>
      </c>
      <c r="CW12" s="357">
        <f t="shared" si="3"/>
        <v>0</v>
      </c>
      <c r="CX12" s="357">
        <f t="shared" si="3"/>
        <v>0</v>
      </c>
      <c r="CY12" s="357">
        <f t="shared" si="3"/>
        <v>0</v>
      </c>
      <c r="CZ12" s="357">
        <f t="shared" si="3"/>
        <v>0</v>
      </c>
      <c r="DA12" s="357">
        <f t="shared" si="3"/>
        <v>0</v>
      </c>
      <c r="DB12" s="357">
        <f t="shared" si="3"/>
        <v>0</v>
      </c>
      <c r="DC12" s="357">
        <f t="shared" si="3"/>
        <v>0</v>
      </c>
      <c r="DD12" s="357">
        <f>SUM(DD7:DD11)</f>
        <v>0</v>
      </c>
      <c r="DE12" s="357">
        <f t="shared" ref="DE12:FN12" si="4">SUM(DE7:DE11)</f>
        <v>0</v>
      </c>
      <c r="DF12" s="357">
        <f t="shared" si="4"/>
        <v>0</v>
      </c>
      <c r="DG12" s="357">
        <f t="shared" si="4"/>
        <v>0</v>
      </c>
      <c r="DH12" s="357">
        <f t="shared" si="4"/>
        <v>0</v>
      </c>
      <c r="DI12" s="357">
        <f t="shared" si="4"/>
        <v>0</v>
      </c>
      <c r="DJ12" s="357">
        <f t="shared" si="4"/>
        <v>0</v>
      </c>
      <c r="DK12" s="357">
        <f t="shared" si="4"/>
        <v>0</v>
      </c>
      <c r="DL12" s="357">
        <f t="shared" si="4"/>
        <v>0</v>
      </c>
      <c r="DM12" s="357">
        <f t="shared" si="4"/>
        <v>0</v>
      </c>
      <c r="DN12" s="357">
        <f t="shared" si="4"/>
        <v>0</v>
      </c>
      <c r="DO12" s="357">
        <f t="shared" si="4"/>
        <v>0</v>
      </c>
      <c r="DP12" s="357">
        <f t="shared" si="4"/>
        <v>0</v>
      </c>
      <c r="DQ12" s="357">
        <f t="shared" si="4"/>
        <v>0</v>
      </c>
      <c r="DR12" s="357">
        <f t="shared" si="4"/>
        <v>0</v>
      </c>
      <c r="DS12" s="357">
        <f t="shared" si="4"/>
        <v>0</v>
      </c>
      <c r="DT12" s="357">
        <f t="shared" si="4"/>
        <v>0</v>
      </c>
      <c r="DU12" s="357">
        <f t="shared" si="4"/>
        <v>0</v>
      </c>
      <c r="DV12" s="357">
        <f t="shared" si="4"/>
        <v>0</v>
      </c>
      <c r="DW12" s="357">
        <f t="shared" si="4"/>
        <v>0</v>
      </c>
      <c r="DX12" s="357">
        <f t="shared" si="4"/>
        <v>0</v>
      </c>
      <c r="DY12" s="357">
        <f t="shared" si="4"/>
        <v>0</v>
      </c>
      <c r="DZ12" s="357">
        <f t="shared" si="4"/>
        <v>0</v>
      </c>
      <c r="EA12" s="357">
        <f t="shared" si="4"/>
        <v>0</v>
      </c>
      <c r="EB12" s="357">
        <f t="shared" si="4"/>
        <v>0</v>
      </c>
      <c r="EC12" s="357">
        <f t="shared" si="4"/>
        <v>0</v>
      </c>
      <c r="ED12" s="357">
        <f t="shared" si="4"/>
        <v>0</v>
      </c>
      <c r="EE12" s="357">
        <f t="shared" si="4"/>
        <v>0</v>
      </c>
      <c r="EF12" s="357">
        <f t="shared" si="4"/>
        <v>0</v>
      </c>
      <c r="EG12" s="357">
        <f t="shared" si="4"/>
        <v>0</v>
      </c>
      <c r="EH12" s="357">
        <f t="shared" si="4"/>
        <v>0</v>
      </c>
      <c r="EI12" s="357">
        <f t="shared" si="4"/>
        <v>0</v>
      </c>
      <c r="EJ12" s="357">
        <f t="shared" si="4"/>
        <v>0</v>
      </c>
      <c r="EK12" s="357">
        <f t="shared" si="4"/>
        <v>0</v>
      </c>
      <c r="EL12" s="357">
        <f t="shared" si="4"/>
        <v>0</v>
      </c>
      <c r="EM12" s="357">
        <f t="shared" si="4"/>
        <v>0</v>
      </c>
      <c r="EN12" s="357">
        <f t="shared" si="4"/>
        <v>0</v>
      </c>
      <c r="EO12" s="357">
        <f t="shared" si="4"/>
        <v>0</v>
      </c>
      <c r="EP12" s="357">
        <f t="shared" si="4"/>
        <v>0</v>
      </c>
      <c r="EQ12" s="357">
        <f t="shared" si="4"/>
        <v>0</v>
      </c>
      <c r="ER12" s="357">
        <f t="shared" si="4"/>
        <v>0</v>
      </c>
      <c r="ES12" s="357">
        <f t="shared" si="4"/>
        <v>0</v>
      </c>
      <c r="ET12" s="357">
        <f t="shared" si="4"/>
        <v>0</v>
      </c>
      <c r="EU12" s="357">
        <f t="shared" si="4"/>
        <v>0</v>
      </c>
      <c r="EV12" s="357">
        <f t="shared" si="4"/>
        <v>0</v>
      </c>
      <c r="EW12" s="357">
        <f t="shared" si="4"/>
        <v>0</v>
      </c>
      <c r="EX12" s="357">
        <f t="shared" si="4"/>
        <v>0</v>
      </c>
      <c r="EY12" s="357">
        <f t="shared" si="4"/>
        <v>0</v>
      </c>
      <c r="EZ12" s="357">
        <f t="shared" si="4"/>
        <v>0</v>
      </c>
      <c r="FA12" s="357">
        <f t="shared" si="4"/>
        <v>0</v>
      </c>
      <c r="FB12" s="357">
        <f t="shared" si="4"/>
        <v>0</v>
      </c>
      <c r="FC12" s="357">
        <f t="shared" si="4"/>
        <v>0</v>
      </c>
      <c r="FD12" s="357">
        <f t="shared" si="4"/>
        <v>0</v>
      </c>
      <c r="FE12" s="357">
        <f t="shared" si="4"/>
        <v>0</v>
      </c>
      <c r="FF12" s="357">
        <f t="shared" si="4"/>
        <v>0</v>
      </c>
      <c r="FG12" s="357">
        <f t="shared" si="4"/>
        <v>0</v>
      </c>
      <c r="FH12" s="357">
        <f t="shared" si="4"/>
        <v>0</v>
      </c>
      <c r="FI12" s="357">
        <f t="shared" si="4"/>
        <v>0</v>
      </c>
      <c r="FJ12" s="357">
        <f t="shared" si="4"/>
        <v>0</v>
      </c>
      <c r="FK12" s="357">
        <f t="shared" si="4"/>
        <v>0</v>
      </c>
      <c r="FL12" s="357">
        <f t="shared" si="4"/>
        <v>0</v>
      </c>
      <c r="FM12" s="357">
        <f t="shared" si="4"/>
        <v>0</v>
      </c>
      <c r="FN12" s="357">
        <f t="shared" si="4"/>
        <v>0</v>
      </c>
      <c r="FO12" s="348">
        <f>SUM(FO7:FO11)</f>
        <v>0</v>
      </c>
    </row>
    <row r="13" spans="1:171">
      <c r="A13" s="184"/>
      <c r="B13" s="109"/>
      <c r="C13" s="110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1"/>
      <c r="CN13" s="111"/>
      <c r="CO13" s="111"/>
      <c r="CP13" s="111"/>
      <c r="CQ13" s="111"/>
      <c r="CR13" s="111"/>
      <c r="CS13" s="111"/>
      <c r="CT13" s="33"/>
    </row>
    <row r="14" spans="1:171">
      <c r="B14" s="21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3"/>
    </row>
    <row r="15" spans="1:171" ht="12.75">
      <c r="A15" s="185"/>
      <c r="B15" s="41"/>
      <c r="C15" s="169"/>
      <c r="D15" s="151">
        <v>44711</v>
      </c>
      <c r="E15" s="151">
        <v>44712</v>
      </c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  <c r="BD15" s="237"/>
      <c r="BE15" s="237"/>
      <c r="BF15" s="237"/>
      <c r="BG15" s="237"/>
      <c r="BH15" s="237"/>
      <c r="BI15" s="237"/>
      <c r="BJ15" s="237"/>
      <c r="BK15" s="237"/>
      <c r="BL15" s="237"/>
      <c r="BM15" s="237"/>
      <c r="BN15" s="237"/>
      <c r="BO15" s="237"/>
      <c r="BP15" s="237"/>
      <c r="BQ15" s="237"/>
      <c r="BR15" s="237"/>
      <c r="BS15" s="237"/>
      <c r="BT15" s="237"/>
      <c r="BU15" s="237"/>
      <c r="BV15" s="237"/>
      <c r="BW15" s="237"/>
      <c r="BX15" s="237"/>
      <c r="BY15" s="237"/>
      <c r="BZ15" s="237"/>
      <c r="CA15" s="237"/>
      <c r="CB15" s="237"/>
      <c r="CC15" s="237"/>
      <c r="CD15" s="237"/>
      <c r="CE15" s="237"/>
      <c r="CF15" s="237"/>
      <c r="CG15" s="237"/>
      <c r="CH15" s="237"/>
      <c r="CI15" s="237"/>
      <c r="CJ15" s="237"/>
      <c r="CK15" s="237"/>
      <c r="CL15" s="237"/>
      <c r="CM15" s="237"/>
      <c r="CN15" s="237"/>
      <c r="CO15" s="237"/>
      <c r="CP15" s="237"/>
      <c r="CQ15" s="237"/>
      <c r="CR15" s="237"/>
      <c r="CS15" s="237"/>
      <c r="CT15" s="2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9045-EEEC-4E54-9483-820448642E7C}">
  <dimension ref="A1:K43"/>
  <sheetViews>
    <sheetView zoomScale="50" zoomScaleNormal="50" workbookViewId="0">
      <selection activeCell="U13" sqref="U12:U13"/>
    </sheetView>
  </sheetViews>
  <sheetFormatPr defaultRowHeight="15.75"/>
  <cols>
    <col min="1" max="1" width="21.7109375" customWidth="1"/>
    <col min="2" max="2" width="23.85546875" style="47" customWidth="1"/>
    <col min="3" max="3" width="20.5703125" style="280" hidden="1" customWidth="1"/>
    <col min="4" max="4" width="20.28515625" style="47" customWidth="1"/>
    <col min="5" max="5" width="17.5703125" style="336" customWidth="1"/>
  </cols>
  <sheetData>
    <row r="1" spans="1:11" s="246" customFormat="1">
      <c r="A1" s="244" t="s">
        <v>563</v>
      </c>
      <c r="B1" s="245" t="s">
        <v>564</v>
      </c>
      <c r="C1" s="308" t="s">
        <v>565</v>
      </c>
      <c r="D1" s="318"/>
      <c r="E1" s="325"/>
    </row>
    <row r="2" spans="1:11" s="246" customFormat="1">
      <c r="A2" s="277" t="s">
        <v>566</v>
      </c>
      <c r="B2" s="245"/>
      <c r="C2" s="279">
        <v>593000000</v>
      </c>
      <c r="D2" s="326">
        <v>693765443</v>
      </c>
      <c r="E2" s="318">
        <v>650000000</v>
      </c>
    </row>
    <row r="3" spans="1:11" s="249" customFormat="1">
      <c r="A3" s="247" t="s">
        <v>567</v>
      </c>
      <c r="B3" s="248"/>
      <c r="C3" s="309">
        <v>250000000</v>
      </c>
      <c r="D3" s="320"/>
      <c r="E3" s="327"/>
    </row>
    <row r="4" spans="1:11" s="249" customFormat="1">
      <c r="A4" s="247" t="s">
        <v>568</v>
      </c>
      <c r="B4" s="248"/>
      <c r="C4" s="309"/>
      <c r="D4" s="320"/>
      <c r="E4" s="327"/>
    </row>
    <row r="5" spans="1:11" s="249" customFormat="1">
      <c r="A5" s="247" t="s">
        <v>569</v>
      </c>
      <c r="B5" s="248"/>
      <c r="C5" s="281">
        <v>19000000</v>
      </c>
      <c r="D5" s="337">
        <v>16044456</v>
      </c>
      <c r="E5" s="338">
        <v>16000000</v>
      </c>
    </row>
    <row r="6" spans="1:11" s="252" customFormat="1" ht="19.5" customHeight="1">
      <c r="A6" s="250" t="s">
        <v>570</v>
      </c>
      <c r="B6" s="251"/>
      <c r="C6" s="310"/>
      <c r="D6" s="321"/>
      <c r="E6" s="328"/>
    </row>
    <row r="7" spans="1:11" s="252" customFormat="1">
      <c r="A7" s="250" t="s">
        <v>571</v>
      </c>
      <c r="B7" s="251"/>
      <c r="C7" s="278">
        <v>37144153</v>
      </c>
      <c r="D7" s="329">
        <v>95483903</v>
      </c>
      <c r="E7" s="339">
        <v>94000000</v>
      </c>
    </row>
    <row r="8" spans="1:11" s="252" customFormat="1">
      <c r="A8" s="250" t="s">
        <v>572</v>
      </c>
      <c r="B8" s="251"/>
      <c r="C8" s="278">
        <v>19881203</v>
      </c>
      <c r="D8" s="321"/>
      <c r="E8" s="328"/>
    </row>
    <row r="9" spans="1:11" s="255" customFormat="1">
      <c r="A9" s="253" t="s">
        <v>573</v>
      </c>
      <c r="B9" s="254"/>
      <c r="C9" s="311"/>
      <c r="D9" s="322"/>
      <c r="E9" s="330"/>
    </row>
    <row r="10" spans="1:11" s="255" customFormat="1" ht="17.25">
      <c r="A10" s="253" t="s">
        <v>574</v>
      </c>
      <c r="B10" s="254"/>
      <c r="C10" s="282">
        <v>143238223</v>
      </c>
      <c r="D10" s="331">
        <v>163188887</v>
      </c>
      <c r="E10" s="340">
        <v>162000000</v>
      </c>
    </row>
    <row r="11" spans="1:11" s="259" customFormat="1" ht="19.5" customHeight="1">
      <c r="A11" s="256" t="s">
        <v>575</v>
      </c>
      <c r="B11" s="257"/>
      <c r="C11" s="312">
        <v>254908753</v>
      </c>
      <c r="D11" s="455">
        <v>197831241</v>
      </c>
      <c r="E11" s="341">
        <v>196000000</v>
      </c>
    </row>
    <row r="12" spans="1:11" s="259" customFormat="1">
      <c r="A12" s="258" t="s">
        <v>576</v>
      </c>
      <c r="B12" s="141"/>
      <c r="C12" s="312">
        <v>3000000</v>
      </c>
      <c r="D12" s="332">
        <v>362689733</v>
      </c>
      <c r="E12" s="341">
        <v>361000000</v>
      </c>
      <c r="K12" s="260"/>
    </row>
    <row r="13" spans="1:11" s="261" customFormat="1">
      <c r="A13" s="258" t="s">
        <v>577</v>
      </c>
      <c r="B13" s="141">
        <v>124652925</v>
      </c>
      <c r="C13" s="313">
        <f>345426813-B13</f>
        <v>220773888</v>
      </c>
      <c r="D13" s="319">
        <v>463628643</v>
      </c>
      <c r="E13" s="333">
        <f>D13-B13-200000000</f>
        <v>138975718</v>
      </c>
      <c r="K13" s="262"/>
    </row>
    <row r="14" spans="1:11" s="261" customFormat="1">
      <c r="A14" s="258" t="s">
        <v>578</v>
      </c>
      <c r="B14" s="258"/>
      <c r="C14" s="314"/>
      <c r="D14" s="323"/>
      <c r="E14" s="333"/>
    </row>
    <row r="15" spans="1:11" s="263" customFormat="1">
      <c r="A15" s="231" t="s">
        <v>579</v>
      </c>
      <c r="B15" s="240"/>
      <c r="C15" s="315">
        <v>48028997</v>
      </c>
      <c r="D15" s="329">
        <v>231015428</v>
      </c>
      <c r="E15" s="342">
        <v>230000000</v>
      </c>
    </row>
    <row r="16" spans="1:11" s="263" customFormat="1" ht="17.25">
      <c r="A16" s="231" t="s">
        <v>580</v>
      </c>
      <c r="B16" s="240"/>
      <c r="C16" s="316">
        <v>2851067</v>
      </c>
      <c r="D16" s="334" t="s">
        <v>581</v>
      </c>
      <c r="E16" s="342">
        <v>0</v>
      </c>
      <c r="K16" s="264"/>
    </row>
    <row r="17" spans="1:11" s="267" customFormat="1" ht="17.25">
      <c r="A17" s="265" t="s">
        <v>582</v>
      </c>
      <c r="B17" s="266"/>
      <c r="C17" s="316">
        <v>13809796</v>
      </c>
      <c r="D17" s="334" t="s">
        <v>583</v>
      </c>
      <c r="E17" s="343">
        <v>12000000</v>
      </c>
    </row>
    <row r="18" spans="1:11" s="267" customFormat="1" ht="15.75" customHeight="1">
      <c r="A18" s="265" t="s">
        <v>584</v>
      </c>
      <c r="B18" s="266"/>
      <c r="C18" s="317">
        <v>136429446</v>
      </c>
      <c r="D18" s="324"/>
      <c r="E18" s="335"/>
      <c r="K18" s="268"/>
    </row>
    <row r="19" spans="1:11">
      <c r="A19" s="63"/>
      <c r="B19" s="63"/>
      <c r="C19" s="280">
        <f>SUM(C2:C18)</f>
        <v>1742065526</v>
      </c>
      <c r="E19" s="336">
        <f>SUM(E2:E18)</f>
        <v>1859975718</v>
      </c>
    </row>
    <row r="20" spans="1:11">
      <c r="A20" s="63"/>
      <c r="B20" s="63"/>
    </row>
    <row r="21" spans="1:11">
      <c r="A21" s="74"/>
      <c r="B21" s="74"/>
    </row>
    <row r="22" spans="1:11">
      <c r="A22" s="74"/>
      <c r="B22" s="74"/>
    </row>
    <row r="23" spans="1:11">
      <c r="A23" s="74"/>
      <c r="B23" s="74"/>
    </row>
    <row r="24" spans="1:11">
      <c r="A24" s="65"/>
      <c r="B24" s="74"/>
    </row>
    <row r="25" spans="1:11">
      <c r="A25" s="74"/>
      <c r="B25" s="74"/>
    </row>
    <row r="26" spans="1:11">
      <c r="A26" s="74"/>
      <c r="B26" s="74"/>
    </row>
    <row r="27" spans="1:11">
      <c r="B27"/>
    </row>
    <row r="28" spans="1:11">
      <c r="A28" s="65"/>
      <c r="B28" s="65"/>
    </row>
    <row r="29" spans="1:11">
      <c r="A29" s="63"/>
      <c r="B29" s="63"/>
    </row>
    <row r="30" spans="1:11">
      <c r="A30" s="63"/>
      <c r="B30" s="63"/>
    </row>
    <row r="31" spans="1:11">
      <c r="A31" s="63"/>
      <c r="B31" s="63"/>
    </row>
    <row r="32" spans="1:11">
      <c r="A32" s="63"/>
      <c r="B32" s="63"/>
    </row>
    <row r="33" spans="1:2">
      <c r="B33" s="61" t="s">
        <v>585</v>
      </c>
    </row>
    <row r="34" spans="1:2">
      <c r="A34" s="62"/>
      <c r="B34" s="61" t="s">
        <v>586</v>
      </c>
    </row>
    <row r="35" spans="1:2">
      <c r="A35" s="62"/>
      <c r="B35" s="61"/>
    </row>
    <row r="36" spans="1:2">
      <c r="A36" s="62"/>
      <c r="B36" s="61" t="s">
        <v>587</v>
      </c>
    </row>
    <row r="37" spans="1:2">
      <c r="A37">
        <v>1</v>
      </c>
      <c r="B37" s="47" t="s">
        <v>588</v>
      </c>
    </row>
    <row r="38" spans="1:2">
      <c r="A38">
        <v>2</v>
      </c>
      <c r="B38" s="47" t="s">
        <v>589</v>
      </c>
    </row>
    <row r="39" spans="1:2" ht="30">
      <c r="A39">
        <v>3</v>
      </c>
      <c r="B39" s="84" t="s">
        <v>590</v>
      </c>
    </row>
    <row r="40" spans="1:2">
      <c r="A40">
        <v>4</v>
      </c>
      <c r="B40" s="55" t="s">
        <v>591</v>
      </c>
    </row>
    <row r="43" spans="1:2">
      <c r="B43" s="61" t="s">
        <v>592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7349-AEE1-45DE-B44A-7BBADCAFB4AA}">
  <sheetPr codeName="Sheet14"/>
  <dimension ref="A1:BL61"/>
  <sheetViews>
    <sheetView zoomScale="80" zoomScaleNormal="80" workbookViewId="0">
      <selection activeCell="BH19" sqref="BH19"/>
    </sheetView>
  </sheetViews>
  <sheetFormatPr defaultRowHeight="15"/>
  <cols>
    <col min="1" max="1" width="5.140625" customWidth="1"/>
    <col min="2" max="2" width="19" customWidth="1"/>
    <col min="3" max="3" width="14.42578125" style="47" customWidth="1"/>
    <col min="4" max="4" width="14.5703125" style="47" customWidth="1"/>
    <col min="5" max="5" width="34.42578125" style="47" hidden="1" customWidth="1"/>
    <col min="6" max="6" width="15.42578125" style="47" hidden="1" customWidth="1"/>
    <col min="7" max="7" width="2" style="47" hidden="1" customWidth="1"/>
    <col min="8" max="8" width="21.85546875" hidden="1" customWidth="1"/>
    <col min="9" max="9" width="1.7109375" hidden="1" customWidth="1"/>
    <col min="10" max="10" width="16.7109375" style="79" hidden="1" customWidth="1"/>
    <col min="11" max="11" width="25.5703125" style="79" hidden="1" customWidth="1"/>
    <col min="12" max="12" width="1.5703125" style="79" hidden="1" customWidth="1"/>
    <col min="13" max="13" width="0.42578125" style="80" hidden="1" customWidth="1"/>
    <col min="14" max="14" width="19.140625" style="80" hidden="1" customWidth="1"/>
    <col min="15" max="15" width="18.28515625" style="80" hidden="1" customWidth="1"/>
    <col min="16" max="16" width="18.140625" style="80" hidden="1" customWidth="1"/>
    <col min="17" max="17" width="3.42578125" style="80" hidden="1" customWidth="1"/>
    <col min="18" max="18" width="22" style="81" hidden="1" customWidth="1"/>
    <col min="19" max="19" width="20.5703125" style="80" hidden="1" customWidth="1"/>
    <col min="20" max="20" width="11.28515625" style="80" hidden="1" customWidth="1"/>
    <col min="21" max="21" width="14.28515625" style="80" hidden="1" customWidth="1"/>
    <col min="22" max="22" width="12.140625" style="80" hidden="1" customWidth="1"/>
    <col min="23" max="23" width="29.85546875" style="80" hidden="1" customWidth="1"/>
    <col min="24" max="24" width="23.7109375" style="47" hidden="1" customWidth="1"/>
    <col min="25" max="25" width="13.28515625" style="47" hidden="1" customWidth="1"/>
    <col min="26" max="27" width="9.140625" hidden="1" customWidth="1"/>
    <col min="28" max="28" width="2.140625" hidden="1" customWidth="1"/>
    <col min="29" max="29" width="1.28515625" hidden="1" customWidth="1"/>
    <col min="30" max="30" width="4.42578125" hidden="1" customWidth="1"/>
    <col min="31" max="31" width="21.7109375" style="47" hidden="1" customWidth="1"/>
    <col min="32" max="32" width="16.7109375" hidden="1" customWidth="1"/>
    <col min="33" max="33" width="23" hidden="1" customWidth="1"/>
    <col min="34" max="34" width="25.140625" hidden="1" customWidth="1"/>
    <col min="35" max="35" width="15.140625" hidden="1" customWidth="1"/>
    <col min="36" max="36" width="13.28515625" hidden="1" customWidth="1"/>
    <col min="37" max="37" width="15" style="47" hidden="1" customWidth="1"/>
    <col min="38" max="38" width="13.7109375" hidden="1" customWidth="1"/>
    <col min="39" max="39" width="19" hidden="1" customWidth="1"/>
    <col min="40" max="41" width="14.140625" hidden="1" customWidth="1"/>
    <col min="42" max="42" width="11.85546875" style="189" hidden="1" customWidth="1"/>
    <col min="43" max="43" width="4.140625" style="47" hidden="1" customWidth="1"/>
    <col min="44" max="44" width="4.85546875" hidden="1" customWidth="1"/>
    <col min="45" max="45" width="12.7109375" hidden="1" customWidth="1"/>
    <col min="46" max="46" width="5.42578125" hidden="1" customWidth="1"/>
    <col min="47" max="47" width="9" hidden="1" customWidth="1"/>
    <col min="48" max="48" width="13.42578125" hidden="1" customWidth="1"/>
    <col min="49" max="49" width="13.85546875" hidden="1" customWidth="1"/>
    <col min="50" max="50" width="16.85546875" hidden="1" customWidth="1"/>
    <col min="51" max="51" width="17.7109375" hidden="1" customWidth="1"/>
    <col min="52" max="52" width="14.5703125" hidden="1" customWidth="1"/>
    <col min="53" max="53" width="16.28515625" hidden="1" customWidth="1"/>
    <col min="54" max="54" width="18.28515625" hidden="1" customWidth="1"/>
    <col min="55" max="55" width="16" hidden="1" customWidth="1"/>
    <col min="56" max="56" width="18.7109375" hidden="1" customWidth="1"/>
    <col min="57" max="57" width="18.42578125" hidden="1" customWidth="1"/>
    <col min="58" max="58" width="19.28515625" customWidth="1"/>
    <col min="59" max="59" width="15" customWidth="1"/>
    <col min="60" max="61" width="16.28515625" style="47" bestFit="1" customWidth="1"/>
    <col min="64" max="64" width="13.42578125" bestFit="1" customWidth="1"/>
  </cols>
  <sheetData>
    <row r="1" spans="1:61" s="42" customFormat="1" ht="33.75" customHeight="1">
      <c r="A1" s="699" t="s">
        <v>593</v>
      </c>
      <c r="B1" s="699" t="s">
        <v>563</v>
      </c>
      <c r="C1" s="172" t="s">
        <v>594</v>
      </c>
      <c r="D1" s="172" t="s">
        <v>595</v>
      </c>
      <c r="E1" s="127" t="s">
        <v>564</v>
      </c>
      <c r="F1" s="128" t="s">
        <v>596</v>
      </c>
      <c r="G1" s="127" t="s">
        <v>597</v>
      </c>
      <c r="H1" s="127" t="s">
        <v>598</v>
      </c>
      <c r="I1" s="129" t="s">
        <v>599</v>
      </c>
      <c r="J1" s="129" t="s">
        <v>600</v>
      </c>
      <c r="K1" s="129" t="s">
        <v>601</v>
      </c>
      <c r="L1" s="129" t="s">
        <v>602</v>
      </c>
      <c r="M1" s="130" t="s">
        <v>603</v>
      </c>
      <c r="N1" s="130" t="s">
        <v>604</v>
      </c>
      <c r="O1" s="130" t="s">
        <v>605</v>
      </c>
      <c r="P1" s="131" t="s">
        <v>606</v>
      </c>
      <c r="Q1" s="48"/>
      <c r="R1" s="49"/>
      <c r="S1" s="50"/>
      <c r="T1" s="132" t="s">
        <v>607</v>
      </c>
      <c r="U1" s="51" t="s">
        <v>608</v>
      </c>
      <c r="V1" s="48"/>
      <c r="W1" s="48"/>
      <c r="X1" s="52" t="s">
        <v>609</v>
      </c>
      <c r="Y1" s="52">
        <v>5000000</v>
      </c>
      <c r="AD1" s="127" t="s">
        <v>610</v>
      </c>
      <c r="AE1" s="127" t="s">
        <v>611</v>
      </c>
      <c r="AF1" s="699" t="s">
        <v>612</v>
      </c>
      <c r="AG1" s="171" t="s">
        <v>613</v>
      </c>
      <c r="AH1" s="769" t="s">
        <v>614</v>
      </c>
      <c r="AI1" s="769"/>
      <c r="AJ1" s="769" t="s">
        <v>615</v>
      </c>
      <c r="AK1" s="769"/>
      <c r="AL1" s="769" t="s">
        <v>616</v>
      </c>
      <c r="AM1" s="769"/>
      <c r="AN1" s="769" t="s">
        <v>617</v>
      </c>
      <c r="AO1" s="769"/>
      <c r="AP1" s="769" t="s">
        <v>618</v>
      </c>
      <c r="AQ1" s="769"/>
      <c r="AR1" s="769" t="s">
        <v>619</v>
      </c>
      <c r="AS1" s="769"/>
      <c r="AT1" s="766" t="s">
        <v>619</v>
      </c>
      <c r="AU1" s="766"/>
      <c r="AV1" s="766" t="s">
        <v>620</v>
      </c>
      <c r="AW1" s="766"/>
      <c r="AX1" s="766" t="s">
        <v>621</v>
      </c>
      <c r="AY1" s="766"/>
      <c r="AZ1" s="766" t="s">
        <v>622</v>
      </c>
      <c r="BA1" s="766"/>
      <c r="BB1" s="766" t="s">
        <v>623</v>
      </c>
      <c r="BC1" s="766"/>
      <c r="BD1" s="766" t="s">
        <v>624</v>
      </c>
      <c r="BE1" s="766"/>
      <c r="BF1" s="766" t="s">
        <v>625</v>
      </c>
      <c r="BG1" s="766"/>
      <c r="BH1" s="767" t="s">
        <v>625</v>
      </c>
      <c r="BI1" s="767"/>
    </row>
    <row r="2" spans="1:61" ht="18">
      <c r="A2" s="85">
        <v>1</v>
      </c>
      <c r="B2" s="176" t="s">
        <v>567</v>
      </c>
      <c r="C2" s="133"/>
      <c r="D2" s="133"/>
      <c r="E2" s="133"/>
      <c r="F2" s="133">
        <v>13606839</v>
      </c>
      <c r="G2" s="133">
        <v>7172838</v>
      </c>
      <c r="H2" s="134">
        <v>2494209</v>
      </c>
      <c r="I2" s="133">
        <v>408516</v>
      </c>
      <c r="J2" s="135">
        <f>I2</f>
        <v>408516</v>
      </c>
      <c r="K2" s="135">
        <v>408516</v>
      </c>
      <c r="L2" s="135">
        <v>115516</v>
      </c>
      <c r="M2" s="136">
        <v>32088345</v>
      </c>
      <c r="N2" s="136">
        <v>2310439</v>
      </c>
      <c r="O2" s="136">
        <f t="shared" ref="O2:O14" si="0">N2</f>
        <v>2310439</v>
      </c>
      <c r="P2" s="136">
        <v>803939</v>
      </c>
      <c r="Q2" s="136"/>
      <c r="R2" s="137"/>
      <c r="S2" s="136"/>
      <c r="T2" s="138"/>
      <c r="U2" s="138"/>
      <c r="V2" s="136"/>
      <c r="W2" s="136"/>
      <c r="X2" s="47" t="s">
        <v>626</v>
      </c>
      <c r="Y2" s="53">
        <v>68427226.5</v>
      </c>
      <c r="AD2" s="133">
        <v>2156479</v>
      </c>
      <c r="AE2" s="133">
        <v>5606979</v>
      </c>
      <c r="AF2" s="133">
        <v>20063551</v>
      </c>
      <c r="AG2" s="134">
        <v>47371167</v>
      </c>
      <c r="AH2" s="133">
        <v>61423690</v>
      </c>
      <c r="AI2" s="133">
        <v>60000000</v>
      </c>
      <c r="AJ2" s="133">
        <v>61423690</v>
      </c>
      <c r="AK2" s="133">
        <v>60000000</v>
      </c>
      <c r="AL2" s="133">
        <v>32275190</v>
      </c>
      <c r="AM2" s="133">
        <v>31000000</v>
      </c>
      <c r="AN2" s="133">
        <v>28339249</v>
      </c>
      <c r="AO2" s="133">
        <v>27100000</v>
      </c>
      <c r="AP2" s="190">
        <v>138060148</v>
      </c>
      <c r="AQ2" s="133">
        <v>135000000</v>
      </c>
      <c r="AR2" s="191">
        <v>20767648</v>
      </c>
      <c r="AS2" s="133">
        <v>19000000</v>
      </c>
      <c r="AT2" s="133">
        <v>49299478</v>
      </c>
      <c r="AU2" s="133">
        <v>48000000</v>
      </c>
      <c r="AV2" s="133">
        <v>13818424</v>
      </c>
      <c r="AW2" s="133">
        <v>12000000</v>
      </c>
      <c r="AX2" s="133">
        <v>8450234</v>
      </c>
      <c r="AY2" s="133">
        <v>8000000</v>
      </c>
      <c r="AZ2" s="133">
        <v>8450234</v>
      </c>
      <c r="BA2" s="133">
        <v>8000000</v>
      </c>
      <c r="BB2" s="204">
        <v>1656464</v>
      </c>
      <c r="BC2" s="208">
        <v>1000000</v>
      </c>
      <c r="BD2" s="213">
        <v>28024464</v>
      </c>
      <c r="BE2" s="133">
        <v>27000000</v>
      </c>
      <c r="BF2" s="455">
        <v>8924743</v>
      </c>
      <c r="BG2" s="133">
        <v>7000000</v>
      </c>
      <c r="BH2" s="133">
        <v>8924743</v>
      </c>
      <c r="BI2" s="133">
        <v>7000000</v>
      </c>
    </row>
    <row r="3" spans="1:61" ht="18">
      <c r="A3" s="85">
        <v>2</v>
      </c>
      <c r="B3" s="176" t="s">
        <v>570</v>
      </c>
      <c r="C3" s="133"/>
      <c r="D3" s="133"/>
      <c r="E3" s="133"/>
      <c r="F3" s="133">
        <v>7328295</v>
      </c>
      <c r="G3" s="133">
        <v>1715926</v>
      </c>
      <c r="H3" s="134">
        <v>1715926</v>
      </c>
      <c r="I3" s="133">
        <v>1717186</v>
      </c>
      <c r="J3" s="135">
        <v>1084176</v>
      </c>
      <c r="K3" s="135">
        <v>1114176</v>
      </c>
      <c r="L3" s="135">
        <v>1084176</v>
      </c>
      <c r="M3" s="136">
        <v>1084176</v>
      </c>
      <c r="N3" s="136">
        <v>1084176</v>
      </c>
      <c r="O3" s="136">
        <f t="shared" si="0"/>
        <v>1084176</v>
      </c>
      <c r="P3" s="136">
        <v>77676</v>
      </c>
      <c r="Q3" s="138">
        <v>1</v>
      </c>
      <c r="R3" s="139" t="str">
        <f>B3</f>
        <v>ocbc nadi</v>
      </c>
      <c r="S3" s="138" t="s">
        <v>627</v>
      </c>
      <c r="T3" s="54"/>
      <c r="U3" s="138">
        <v>1000000</v>
      </c>
      <c r="V3" s="139" t="s">
        <v>628</v>
      </c>
      <c r="W3" s="139" t="s">
        <v>629</v>
      </c>
      <c r="X3" s="47" t="s">
        <v>630</v>
      </c>
      <c r="Y3" s="47">
        <f>J10</f>
        <v>-109922450</v>
      </c>
      <c r="AD3" s="133">
        <v>77958</v>
      </c>
      <c r="AE3" s="133">
        <v>77958</v>
      </c>
      <c r="AF3" s="133">
        <v>577999</v>
      </c>
      <c r="AG3" s="134">
        <v>578202</v>
      </c>
      <c r="AH3" s="133">
        <v>578202</v>
      </c>
      <c r="AI3" s="133"/>
      <c r="AJ3" s="133">
        <v>578202</v>
      </c>
      <c r="AK3" s="133"/>
      <c r="AL3" s="133"/>
      <c r="AM3" s="133"/>
      <c r="AN3" s="133">
        <v>578202</v>
      </c>
      <c r="AO3" s="133"/>
      <c r="AP3" s="140">
        <v>10578202</v>
      </c>
      <c r="AQ3" s="133">
        <v>9000000</v>
      </c>
      <c r="AR3" s="140">
        <v>10578202</v>
      </c>
      <c r="AS3" s="133">
        <v>9000000</v>
      </c>
      <c r="AT3" s="133">
        <v>10581570</v>
      </c>
      <c r="AU3" s="133"/>
      <c r="AV3" s="133">
        <v>10581570</v>
      </c>
      <c r="AW3" s="133">
        <v>9000000</v>
      </c>
      <c r="AX3" s="133">
        <v>565070</v>
      </c>
      <c r="AY3" s="133"/>
      <c r="AZ3" s="133">
        <v>565070</v>
      </c>
      <c r="BA3" s="133"/>
      <c r="BB3" s="205"/>
      <c r="BC3" s="208"/>
      <c r="BD3" s="214">
        <v>595070</v>
      </c>
      <c r="BE3" s="133"/>
      <c r="BF3" s="455">
        <v>595070</v>
      </c>
      <c r="BG3" s="133"/>
      <c r="BH3" s="133">
        <v>595070</v>
      </c>
      <c r="BI3" s="133"/>
    </row>
    <row r="4" spans="1:61" ht="12.75" customHeight="1">
      <c r="A4" s="85">
        <v>3</v>
      </c>
      <c r="B4" s="176" t="s">
        <v>573</v>
      </c>
      <c r="C4" s="133"/>
      <c r="D4" s="133"/>
      <c r="E4" s="133"/>
      <c r="F4" s="133">
        <v>1715926</v>
      </c>
      <c r="G4" s="133">
        <v>7328295</v>
      </c>
      <c r="H4" s="134">
        <v>7328295</v>
      </c>
      <c r="I4" s="133">
        <v>7332816</v>
      </c>
      <c r="J4" s="135">
        <v>326316</v>
      </c>
      <c r="K4" s="135">
        <v>326316</v>
      </c>
      <c r="L4" s="135">
        <v>296316</v>
      </c>
      <c r="M4" s="136">
        <v>296316</v>
      </c>
      <c r="N4" s="136">
        <v>296316</v>
      </c>
      <c r="O4" s="136">
        <f t="shared" si="0"/>
        <v>296316</v>
      </c>
      <c r="P4" s="136">
        <v>296316</v>
      </c>
      <c r="Q4" s="138"/>
      <c r="R4" s="139"/>
      <c r="S4" s="138"/>
      <c r="T4" s="138"/>
      <c r="U4" s="138"/>
      <c r="V4" s="139"/>
      <c r="W4" s="139"/>
      <c r="X4" s="47" t="s">
        <v>631</v>
      </c>
      <c r="Y4" s="55">
        <v>2500000</v>
      </c>
      <c r="AD4" s="133">
        <v>266652</v>
      </c>
      <c r="AE4" s="133">
        <v>266652</v>
      </c>
      <c r="AF4" s="133">
        <v>486825</v>
      </c>
      <c r="AG4" s="134">
        <v>457076</v>
      </c>
      <c r="AH4" s="133">
        <v>457076</v>
      </c>
      <c r="AI4" s="133"/>
      <c r="AJ4" s="133">
        <v>457076</v>
      </c>
      <c r="AK4" s="133"/>
      <c r="AL4" s="133"/>
      <c r="AM4" s="133"/>
      <c r="AN4" s="133">
        <v>457076</v>
      </c>
      <c r="AO4" s="133"/>
      <c r="AP4" s="140">
        <v>457076</v>
      </c>
      <c r="AQ4" s="133"/>
      <c r="AR4" s="85"/>
      <c r="AS4" s="133"/>
      <c r="AT4" s="133"/>
      <c r="AU4" s="133"/>
      <c r="AV4" s="196"/>
      <c r="AW4" s="133"/>
      <c r="AX4" s="133">
        <v>427370</v>
      </c>
      <c r="AY4" s="133"/>
      <c r="AZ4" s="133">
        <v>427370</v>
      </c>
      <c r="BA4" s="133"/>
      <c r="BB4" s="205"/>
      <c r="BC4" s="208"/>
      <c r="BD4" s="215" t="s">
        <v>632</v>
      </c>
      <c r="BE4" s="133"/>
      <c r="BF4" s="456">
        <v>427370</v>
      </c>
      <c r="BG4" s="133"/>
      <c r="BH4" s="133">
        <v>427370</v>
      </c>
      <c r="BI4" s="133"/>
    </row>
    <row r="5" spans="1:61" ht="15.75">
      <c r="A5" s="85">
        <v>4</v>
      </c>
      <c r="B5" s="176" t="s">
        <v>571</v>
      </c>
      <c r="C5" s="133"/>
      <c r="D5" s="133"/>
      <c r="E5" s="133"/>
      <c r="F5" s="133">
        <v>45885627</v>
      </c>
      <c r="G5" s="133">
        <v>45885627</v>
      </c>
      <c r="H5" s="134">
        <v>100429527</v>
      </c>
      <c r="I5" s="133">
        <v>100429527</v>
      </c>
      <c r="J5" s="133">
        <v>100429527</v>
      </c>
      <c r="K5" s="133">
        <v>3280527</v>
      </c>
      <c r="L5" s="133">
        <v>1018584</v>
      </c>
      <c r="M5" s="140">
        <v>1018584</v>
      </c>
      <c r="N5" s="140">
        <v>2668584</v>
      </c>
      <c r="O5" s="140">
        <f t="shared" si="0"/>
        <v>2668584</v>
      </c>
      <c r="P5" s="148">
        <v>1012084</v>
      </c>
      <c r="Q5" s="141">
        <v>2</v>
      </c>
      <c r="R5" s="139" t="str">
        <f>B5</f>
        <v>cimb nadi</v>
      </c>
      <c r="S5" s="138" t="s">
        <v>633</v>
      </c>
      <c r="T5" s="138">
        <v>1000000</v>
      </c>
      <c r="U5" s="141">
        <v>1650000</v>
      </c>
      <c r="V5" s="139" t="s">
        <v>634</v>
      </c>
      <c r="W5" s="139" t="s">
        <v>629</v>
      </c>
      <c r="Y5" s="47">
        <f>SUM(Y1:Y4)</f>
        <v>-33995223.5</v>
      </c>
      <c r="Z5" t="s">
        <v>635</v>
      </c>
      <c r="AD5" s="133">
        <v>971884</v>
      </c>
      <c r="AE5" s="133">
        <v>941884</v>
      </c>
      <c r="AF5" s="133">
        <v>1271884</v>
      </c>
      <c r="AG5" s="134">
        <v>1241884</v>
      </c>
      <c r="AH5" s="133">
        <v>1241884</v>
      </c>
      <c r="AI5" s="133"/>
      <c r="AJ5" s="133">
        <v>1241884</v>
      </c>
      <c r="AK5" s="133"/>
      <c r="AL5" s="133"/>
      <c r="AM5" s="133"/>
      <c r="AN5" s="133">
        <v>1241884</v>
      </c>
      <c r="AO5" s="133"/>
      <c r="AP5" s="140">
        <v>1211884</v>
      </c>
      <c r="AQ5" s="133"/>
      <c r="AR5" s="85"/>
      <c r="AS5" s="133"/>
      <c r="AT5" s="133"/>
      <c r="AU5" s="133"/>
      <c r="AV5" s="133"/>
      <c r="AW5" s="133"/>
      <c r="AX5" s="133">
        <v>35086343</v>
      </c>
      <c r="AY5" s="133">
        <v>34000000</v>
      </c>
      <c r="AZ5" s="133">
        <v>1597984</v>
      </c>
      <c r="BA5" s="133">
        <v>1000000</v>
      </c>
      <c r="BB5" s="205"/>
      <c r="BC5" s="208"/>
      <c r="BD5" s="216">
        <v>1567984</v>
      </c>
      <c r="BE5" s="133"/>
      <c r="BF5" s="224">
        <v>1567984</v>
      </c>
      <c r="BG5" s="133"/>
      <c r="BH5" s="133">
        <v>1567984</v>
      </c>
      <c r="BI5" s="133"/>
    </row>
    <row r="6" spans="1:61" ht="15.75">
      <c r="A6" s="85">
        <v>5</v>
      </c>
      <c r="B6" s="176" t="s">
        <v>636</v>
      </c>
      <c r="C6" s="133"/>
      <c r="D6" s="133"/>
      <c r="E6" s="133"/>
      <c r="F6" s="133">
        <v>1324344</v>
      </c>
      <c r="G6" s="133">
        <v>1324344</v>
      </c>
      <c r="H6" s="134">
        <v>1294344</v>
      </c>
      <c r="I6" s="133">
        <v>1294344</v>
      </c>
      <c r="J6" s="133">
        <v>1294344</v>
      </c>
      <c r="K6" s="133">
        <v>1294344</v>
      </c>
      <c r="L6" s="133">
        <v>1294344</v>
      </c>
      <c r="M6" s="140">
        <v>1294344</v>
      </c>
      <c r="N6" s="140">
        <v>1294344</v>
      </c>
      <c r="O6" s="140">
        <f t="shared" si="0"/>
        <v>1294344</v>
      </c>
      <c r="P6" s="149">
        <v>1012844</v>
      </c>
      <c r="Q6" s="141">
        <v>3</v>
      </c>
      <c r="R6" s="139" t="str">
        <f>B6</f>
        <v>cimb MRP</v>
      </c>
      <c r="S6" s="138" t="s">
        <v>633</v>
      </c>
      <c r="T6" s="138">
        <v>1000000</v>
      </c>
      <c r="U6" s="141">
        <v>275000</v>
      </c>
      <c r="V6" s="139" t="s">
        <v>628</v>
      </c>
      <c r="W6" s="139" t="s">
        <v>629</v>
      </c>
      <c r="AD6" s="133">
        <v>982844</v>
      </c>
      <c r="AE6" s="133">
        <v>952844</v>
      </c>
      <c r="AF6" s="133">
        <v>902844</v>
      </c>
      <c r="AG6" s="134">
        <v>872844</v>
      </c>
      <c r="AH6" s="133">
        <v>872844</v>
      </c>
      <c r="AI6" s="133"/>
      <c r="AJ6" s="133">
        <v>822844</v>
      </c>
      <c r="AK6" s="133"/>
      <c r="AL6" s="133"/>
      <c r="AM6" s="133"/>
      <c r="AN6" s="133">
        <v>822844</v>
      </c>
      <c r="AO6" s="133"/>
      <c r="AP6" s="140">
        <v>792844</v>
      </c>
      <c r="AQ6" s="133"/>
      <c r="AR6" s="85"/>
      <c r="AS6" s="133"/>
      <c r="AT6" s="133">
        <v>135099343</v>
      </c>
      <c r="AU6" s="133">
        <v>130000000</v>
      </c>
      <c r="AV6" s="133">
        <v>35086343</v>
      </c>
      <c r="AW6" s="133">
        <v>34000000</v>
      </c>
      <c r="AX6" s="133">
        <v>1597984</v>
      </c>
      <c r="AY6" s="133">
        <v>1000000</v>
      </c>
      <c r="AZ6" s="133">
        <v>35086343</v>
      </c>
      <c r="BA6" s="133">
        <v>34000000</v>
      </c>
      <c r="BB6" s="205"/>
      <c r="BC6" s="208"/>
      <c r="BD6" s="216">
        <v>178020203</v>
      </c>
      <c r="BE6" s="133">
        <v>175000000</v>
      </c>
      <c r="BF6" s="224">
        <v>28000703</v>
      </c>
      <c r="BG6" s="133">
        <v>27000000</v>
      </c>
      <c r="BH6" s="133">
        <v>28000703</v>
      </c>
      <c r="BI6" s="133">
        <v>27000000</v>
      </c>
    </row>
    <row r="7" spans="1:61" ht="15.75">
      <c r="A7" s="85">
        <v>6</v>
      </c>
      <c r="B7" s="176" t="s">
        <v>582</v>
      </c>
      <c r="C7" s="133"/>
      <c r="D7" s="133"/>
      <c r="E7" s="133"/>
      <c r="F7" s="133">
        <v>618775</v>
      </c>
      <c r="G7" s="133">
        <v>618775</v>
      </c>
      <c r="H7" s="134">
        <v>39789237</v>
      </c>
      <c r="I7" s="133">
        <v>39789237</v>
      </c>
      <c r="J7" s="133">
        <v>39789237</v>
      </c>
      <c r="K7" s="133">
        <v>39789237</v>
      </c>
      <c r="L7" s="133">
        <v>39789237</v>
      </c>
      <c r="M7" s="140">
        <v>782737</v>
      </c>
      <c r="N7" s="140">
        <v>782737</v>
      </c>
      <c r="O7" s="140">
        <f t="shared" si="0"/>
        <v>782737</v>
      </c>
      <c r="P7" s="140">
        <v>76237</v>
      </c>
      <c r="Q7" s="141">
        <v>4</v>
      </c>
      <c r="R7" s="139" t="str">
        <f>B7</f>
        <v>bri yukti</v>
      </c>
      <c r="S7" s="138" t="s">
        <v>633</v>
      </c>
      <c r="T7" s="138">
        <v>50000</v>
      </c>
      <c r="U7" s="141">
        <v>700000</v>
      </c>
      <c r="V7" s="139" t="s">
        <v>634</v>
      </c>
      <c r="W7" s="139" t="s">
        <v>629</v>
      </c>
      <c r="AD7" s="133">
        <v>12820527</v>
      </c>
      <c r="AE7" s="133">
        <v>7986110</v>
      </c>
      <c r="AF7" s="133">
        <v>979610</v>
      </c>
      <c r="AG7" s="134">
        <v>65609961</v>
      </c>
      <c r="AH7" s="133">
        <v>603461</v>
      </c>
      <c r="AI7" s="133"/>
      <c r="AJ7" s="133">
        <v>603461</v>
      </c>
      <c r="AK7" s="133"/>
      <c r="AL7" s="133"/>
      <c r="AM7" s="133"/>
      <c r="AN7" s="133">
        <v>603461</v>
      </c>
      <c r="AO7" s="133"/>
      <c r="AP7" s="140">
        <v>616547</v>
      </c>
      <c r="AQ7" s="133"/>
      <c r="AR7" s="85"/>
      <c r="AS7" s="133"/>
      <c r="AT7" s="133"/>
      <c r="AU7" s="133"/>
      <c r="AV7" s="133"/>
      <c r="AW7" s="133"/>
      <c r="AX7" s="133">
        <v>616547</v>
      </c>
      <c r="AY7" s="133"/>
      <c r="AZ7" s="133">
        <v>616547</v>
      </c>
      <c r="BA7" s="133"/>
      <c r="BB7" s="205"/>
      <c r="BC7" s="208"/>
      <c r="BD7" s="217">
        <v>566.54700000000003</v>
      </c>
      <c r="BE7" s="133"/>
      <c r="BF7" s="225">
        <v>566.54700000000003</v>
      </c>
      <c r="BG7" s="133"/>
      <c r="BH7" s="133">
        <v>566.54700000000003</v>
      </c>
      <c r="BI7" s="133"/>
    </row>
    <row r="8" spans="1:61" ht="15.75">
      <c r="A8" s="85">
        <v>7</v>
      </c>
      <c r="B8" s="176" t="s">
        <v>574</v>
      </c>
      <c r="C8" s="133"/>
      <c r="D8" s="133"/>
      <c r="E8" s="133"/>
      <c r="F8" s="133">
        <v>3052820</v>
      </c>
      <c r="G8" s="133">
        <v>3052820</v>
      </c>
      <c r="H8" s="134">
        <v>3057682</v>
      </c>
      <c r="I8" s="133">
        <v>3057682</v>
      </c>
      <c r="J8" s="133">
        <v>3057682</v>
      </c>
      <c r="K8" s="133">
        <v>3057682</v>
      </c>
      <c r="L8" s="133">
        <v>3057682</v>
      </c>
      <c r="M8" s="140">
        <v>3057682</v>
      </c>
      <c r="N8" s="140">
        <v>3057682</v>
      </c>
      <c r="O8" s="140">
        <f t="shared" si="0"/>
        <v>3057682</v>
      </c>
      <c r="P8" s="140">
        <v>51182</v>
      </c>
      <c r="Q8" s="141">
        <v>5</v>
      </c>
      <c r="R8" s="139" t="str">
        <f>B8</f>
        <v>bri utama kalpana</v>
      </c>
      <c r="S8" s="138" t="s">
        <v>633</v>
      </c>
      <c r="T8" s="138"/>
      <c r="U8" s="141">
        <v>3000000</v>
      </c>
      <c r="V8" s="139" t="s">
        <v>634</v>
      </c>
      <c r="W8" s="139" t="s">
        <v>629</v>
      </c>
      <c r="X8" s="47">
        <f>57500*3</f>
        <v>172500</v>
      </c>
      <c r="AD8" s="133">
        <v>2376</v>
      </c>
      <c r="AE8" s="133">
        <v>0</v>
      </c>
      <c r="AF8" s="133">
        <v>500000</v>
      </c>
      <c r="AG8" s="134">
        <v>34771904</v>
      </c>
      <c r="AH8" s="133">
        <v>758904</v>
      </c>
      <c r="AI8" s="133"/>
      <c r="AJ8" s="133">
        <v>450000</v>
      </c>
      <c r="AK8" s="133"/>
      <c r="AL8" s="133"/>
      <c r="AM8" s="133"/>
      <c r="AN8" s="133">
        <v>450000</v>
      </c>
      <c r="AO8" s="133"/>
      <c r="AP8" s="140">
        <v>762646</v>
      </c>
      <c r="AQ8" s="133"/>
      <c r="AR8" s="85"/>
      <c r="AS8" s="133"/>
      <c r="AT8" s="133"/>
      <c r="AU8" s="133"/>
      <c r="AV8" s="133"/>
      <c r="AW8" s="133"/>
      <c r="AX8" s="133">
        <v>762646</v>
      </c>
      <c r="AY8" s="133"/>
      <c r="AZ8" s="133">
        <v>762646</v>
      </c>
      <c r="BA8" s="133"/>
      <c r="BB8" s="212" t="s">
        <v>637</v>
      </c>
      <c r="BC8" s="208">
        <v>2000000</v>
      </c>
      <c r="BD8" s="217">
        <v>970.48400000000004</v>
      </c>
      <c r="BE8" s="133"/>
      <c r="BF8" s="225">
        <v>970.48400000000004</v>
      </c>
      <c r="BG8" s="133"/>
      <c r="BH8" s="133">
        <v>970.48400000000004</v>
      </c>
      <c r="BI8" s="133"/>
    </row>
    <row r="9" spans="1:61" ht="15.75">
      <c r="A9" s="85">
        <v>8</v>
      </c>
      <c r="B9" s="176" t="s">
        <v>638</v>
      </c>
      <c r="C9" s="133"/>
      <c r="D9" s="133"/>
      <c r="E9" s="133"/>
      <c r="F9" s="133">
        <v>562208</v>
      </c>
      <c r="G9" s="133">
        <v>562208</v>
      </c>
      <c r="H9" s="134">
        <v>568297</v>
      </c>
      <c r="I9" s="133">
        <v>568297</v>
      </c>
      <c r="J9" s="133">
        <v>568297</v>
      </c>
      <c r="K9" s="133">
        <v>568297</v>
      </c>
      <c r="L9" s="133">
        <v>568297</v>
      </c>
      <c r="M9" s="140">
        <v>568297</v>
      </c>
      <c r="N9" s="140">
        <v>568297</v>
      </c>
      <c r="O9" s="140">
        <f t="shared" si="0"/>
        <v>568297</v>
      </c>
      <c r="P9" s="140">
        <v>61797</v>
      </c>
      <c r="Q9" s="141">
        <v>6</v>
      </c>
      <c r="R9" s="139" t="str">
        <f>B9</f>
        <v>bri MRP</v>
      </c>
      <c r="S9" s="138" t="s">
        <v>633</v>
      </c>
      <c r="T9" s="138">
        <v>50000</v>
      </c>
      <c r="U9" s="141">
        <v>500000</v>
      </c>
      <c r="V9" s="139" t="s">
        <v>634</v>
      </c>
      <c r="W9" s="139" t="s">
        <v>629</v>
      </c>
      <c r="AD9" s="133">
        <v>5519</v>
      </c>
      <c r="AE9" s="133"/>
      <c r="AF9" s="133">
        <v>500000</v>
      </c>
      <c r="AG9" s="134">
        <v>450000</v>
      </c>
      <c r="AH9" s="133">
        <v>450000</v>
      </c>
      <c r="AI9" s="133"/>
      <c r="AJ9" s="133">
        <v>758904</v>
      </c>
      <c r="AK9" s="133"/>
      <c r="AL9" s="133"/>
      <c r="AM9" s="133"/>
      <c r="AN9" s="133">
        <v>758904</v>
      </c>
      <c r="AO9" s="133"/>
      <c r="AP9" s="140">
        <v>400000</v>
      </c>
      <c r="AQ9" s="133"/>
      <c r="AR9" s="85"/>
      <c r="AS9" s="133"/>
      <c r="AT9" s="133"/>
      <c r="AU9" s="133"/>
      <c r="AV9" s="85"/>
      <c r="AW9" s="85"/>
      <c r="AX9" s="133">
        <v>400000</v>
      </c>
      <c r="AY9" s="133"/>
      <c r="AZ9" s="133">
        <v>400000</v>
      </c>
      <c r="BA9" s="133"/>
      <c r="BB9" s="205"/>
      <c r="BC9" s="208"/>
      <c r="BD9" s="218">
        <v>350000</v>
      </c>
      <c r="BE9" s="133"/>
      <c r="BF9" s="225">
        <v>350000</v>
      </c>
      <c r="BG9" s="133"/>
      <c r="BH9" s="133">
        <v>350000</v>
      </c>
      <c r="BI9" s="133"/>
    </row>
    <row r="10" spans="1:61" ht="15.75">
      <c r="A10" s="85">
        <v>9</v>
      </c>
      <c r="B10" s="176" t="s">
        <v>577</v>
      </c>
      <c r="C10" s="133">
        <v>234575375</v>
      </c>
      <c r="D10" s="133">
        <v>124652925</v>
      </c>
      <c r="E10" s="133">
        <v>234575375</v>
      </c>
      <c r="F10" s="133">
        <f>D10-E10</f>
        <v>-109922450</v>
      </c>
      <c r="G10" s="133">
        <f t="shared" ref="G10:H13" si="1">F10</f>
        <v>-109922450</v>
      </c>
      <c r="H10" s="134">
        <f t="shared" si="1"/>
        <v>-109922450</v>
      </c>
      <c r="I10" s="133">
        <f>H10</f>
        <v>-109922450</v>
      </c>
      <c r="J10" s="133">
        <f>I10</f>
        <v>-109922450</v>
      </c>
      <c r="K10" s="133">
        <f>202201212-D10</f>
        <v>77548287</v>
      </c>
      <c r="L10" s="133">
        <v>5079483</v>
      </c>
      <c r="M10" s="140">
        <v>10157033</v>
      </c>
      <c r="N10" s="140">
        <v>154133</v>
      </c>
      <c r="O10" s="140">
        <f t="shared" si="0"/>
        <v>154133</v>
      </c>
      <c r="P10" s="140">
        <v>154133</v>
      </c>
      <c r="Q10" s="141"/>
      <c r="R10" s="139"/>
      <c r="S10" s="141"/>
      <c r="T10" s="141"/>
      <c r="U10" s="141"/>
      <c r="V10" s="139"/>
      <c r="W10" s="139"/>
      <c r="AD10" s="133">
        <f>672748584-234575375</f>
        <v>438173209</v>
      </c>
      <c r="AE10" s="133">
        <f>444213426-E10</f>
        <v>209638051</v>
      </c>
      <c r="AF10" s="133">
        <f>291613421-234575375</f>
        <v>57038046</v>
      </c>
      <c r="AG10" s="134">
        <f>303724025-D10</f>
        <v>179071100</v>
      </c>
      <c r="AH10" s="133">
        <f>129658225-D10</f>
        <v>5005300</v>
      </c>
      <c r="AI10" s="133"/>
      <c r="AJ10" s="133">
        <f>171620725-D10</f>
        <v>46967800</v>
      </c>
      <c r="AK10" s="133">
        <v>45000000</v>
      </c>
      <c r="AL10" s="47">
        <v>138742374</v>
      </c>
      <c r="AM10" s="133">
        <v>12000000</v>
      </c>
      <c r="AN10" s="133">
        <v>170521374</v>
      </c>
      <c r="AO10" s="133">
        <v>45000000</v>
      </c>
      <c r="AP10" s="140">
        <v>253584874</v>
      </c>
      <c r="AQ10" s="133">
        <f>AP10-D10</f>
        <v>128931949</v>
      </c>
      <c r="AR10" s="192">
        <v>263235914</v>
      </c>
      <c r="AS10" s="133">
        <f>AR10-D10-85000000</f>
        <v>53582989</v>
      </c>
      <c r="AT10" s="133">
        <v>517490249</v>
      </c>
      <c r="AU10" s="133">
        <f>AT10-D10-100000000</f>
        <v>292837324</v>
      </c>
      <c r="AV10" s="133">
        <v>331123626</v>
      </c>
      <c r="AW10" s="133">
        <f>AV10-D10</f>
        <v>206470701</v>
      </c>
      <c r="AX10" s="198">
        <v>136439626</v>
      </c>
      <c r="AY10" s="133">
        <f>AX10-D10-1000000</f>
        <v>10786701</v>
      </c>
      <c r="AZ10" s="200">
        <v>197265776</v>
      </c>
      <c r="BA10" s="201">
        <f>AZ10-D10-1000000</f>
        <v>71612851</v>
      </c>
      <c r="BB10" s="206">
        <v>127052876</v>
      </c>
      <c r="BC10" s="208">
        <f>BB10-D10</f>
        <v>2399951</v>
      </c>
      <c r="BD10" s="219">
        <v>167976696</v>
      </c>
      <c r="BE10" s="133">
        <f>165000000-D10</f>
        <v>40347075</v>
      </c>
      <c r="BF10" s="133"/>
      <c r="BG10" s="133"/>
      <c r="BH10" s="198">
        <v>228802846</v>
      </c>
      <c r="BI10" s="133">
        <f>BH10-D10-1000000</f>
        <v>103149921</v>
      </c>
    </row>
    <row r="11" spans="1:61" ht="15.75">
      <c r="A11" s="85">
        <v>10</v>
      </c>
      <c r="B11" s="176" t="s">
        <v>576</v>
      </c>
      <c r="C11" s="133"/>
      <c r="D11" s="133"/>
      <c r="E11" s="133"/>
      <c r="F11" s="133">
        <v>69402</v>
      </c>
      <c r="G11" s="133">
        <f t="shared" si="1"/>
        <v>69402</v>
      </c>
      <c r="H11" s="134">
        <f t="shared" si="1"/>
        <v>69402</v>
      </c>
      <c r="I11" s="133">
        <v>59402</v>
      </c>
      <c r="J11" s="133">
        <v>59402</v>
      </c>
      <c r="K11" s="133">
        <v>59402</v>
      </c>
      <c r="L11" s="133">
        <v>22035</v>
      </c>
      <c r="M11" s="140">
        <v>22035</v>
      </c>
      <c r="N11" s="140">
        <v>1776672</v>
      </c>
      <c r="O11" s="140">
        <f t="shared" si="0"/>
        <v>1776672</v>
      </c>
      <c r="P11" s="140">
        <v>60172</v>
      </c>
      <c r="Q11" s="141">
        <v>7</v>
      </c>
      <c r="R11" s="139" t="str">
        <f>B11</f>
        <v>mandiri sakti</v>
      </c>
      <c r="S11" s="138" t="s">
        <v>633</v>
      </c>
      <c r="T11" s="138">
        <v>50000</v>
      </c>
      <c r="U11" s="141">
        <v>1700000</v>
      </c>
      <c r="V11" s="139" t="s">
        <v>628</v>
      </c>
      <c r="W11" s="139" t="s">
        <v>629</v>
      </c>
      <c r="AD11" s="133">
        <v>12963</v>
      </c>
      <c r="AE11" s="133">
        <v>12963</v>
      </c>
      <c r="AF11" s="133">
        <v>490000</v>
      </c>
      <c r="AG11" s="134">
        <v>452500</v>
      </c>
      <c r="AH11" s="133">
        <v>452500</v>
      </c>
      <c r="AI11" s="133"/>
      <c r="AJ11" s="133">
        <v>442500</v>
      </c>
      <c r="AK11" s="133"/>
      <c r="AL11" s="133"/>
      <c r="AM11" s="133"/>
      <c r="AN11" s="133">
        <v>442500</v>
      </c>
      <c r="AO11" s="133"/>
      <c r="AP11" s="140">
        <v>442500</v>
      </c>
      <c r="AQ11" s="133"/>
      <c r="AR11" s="85"/>
      <c r="AS11" s="133"/>
      <c r="AT11" s="133"/>
      <c r="AU11" s="133"/>
      <c r="AV11" s="133"/>
      <c r="AW11" s="133"/>
      <c r="AX11" s="133">
        <v>405000</v>
      </c>
      <c r="AY11" s="133"/>
      <c r="AZ11" s="133">
        <v>405000</v>
      </c>
      <c r="BA11" s="85"/>
      <c r="BB11" s="205"/>
      <c r="BC11" s="208"/>
      <c r="BD11" s="133">
        <v>95000</v>
      </c>
      <c r="BE11" s="133"/>
      <c r="BF11" s="133">
        <v>85000</v>
      </c>
      <c r="BG11" s="133"/>
      <c r="BH11" s="133">
        <v>85000</v>
      </c>
      <c r="BI11" s="133"/>
    </row>
    <row r="12" spans="1:61" ht="15.75">
      <c r="A12" s="85">
        <v>11</v>
      </c>
      <c r="B12" s="176" t="s">
        <v>584</v>
      </c>
      <c r="C12" s="133"/>
      <c r="D12" s="133"/>
      <c r="E12" s="133"/>
      <c r="F12" s="133">
        <v>1812400</v>
      </c>
      <c r="G12" s="133">
        <f t="shared" si="1"/>
        <v>1812400</v>
      </c>
      <c r="H12" s="134">
        <f t="shared" si="1"/>
        <v>1812400</v>
      </c>
      <c r="I12" s="133">
        <v>1812400</v>
      </c>
      <c r="J12" s="133">
        <v>1812400</v>
      </c>
      <c r="K12" s="133">
        <v>1812400</v>
      </c>
      <c r="L12" s="133">
        <v>1776672</v>
      </c>
      <c r="M12" s="140">
        <v>1776672</v>
      </c>
      <c r="N12" s="140">
        <v>22035</v>
      </c>
      <c r="O12" s="140">
        <f t="shared" si="0"/>
        <v>22035</v>
      </c>
      <c r="P12" s="140">
        <v>22035</v>
      </c>
      <c r="Q12" s="141"/>
      <c r="R12" s="139"/>
      <c r="S12" s="141"/>
      <c r="T12" s="141"/>
      <c r="U12" s="141"/>
      <c r="V12" s="139"/>
      <c r="W12" s="139"/>
      <c r="AD12" s="133">
        <v>6799880</v>
      </c>
      <c r="AE12" s="133">
        <v>6799880</v>
      </c>
      <c r="AF12" s="133">
        <v>747669</v>
      </c>
      <c r="AG12" s="134">
        <v>700169</v>
      </c>
      <c r="AH12" s="133">
        <v>700169</v>
      </c>
      <c r="AI12" s="133"/>
      <c r="AJ12" s="133">
        <v>700169</v>
      </c>
      <c r="AK12" s="133"/>
      <c r="AL12" s="133"/>
      <c r="AM12" s="133"/>
      <c r="AN12" s="133">
        <v>700169</v>
      </c>
      <c r="AO12" s="133"/>
      <c r="AP12" s="140">
        <v>700169</v>
      </c>
      <c r="AQ12" s="133"/>
      <c r="AR12" s="85"/>
      <c r="AS12" s="133"/>
      <c r="AT12" s="133"/>
      <c r="AU12" s="133"/>
      <c r="AV12" s="133"/>
      <c r="AW12" s="133"/>
      <c r="AX12" s="133">
        <v>652669</v>
      </c>
      <c r="AY12" s="133"/>
      <c r="AZ12" s="133">
        <v>652669</v>
      </c>
      <c r="BA12" s="85"/>
      <c r="BB12" s="205"/>
      <c r="BC12" s="208"/>
      <c r="BD12" s="220">
        <v>44288502</v>
      </c>
      <c r="BE12" s="133">
        <v>40000000</v>
      </c>
      <c r="BF12" s="226">
        <v>44278502</v>
      </c>
      <c r="BG12" s="133">
        <v>43000000</v>
      </c>
      <c r="BH12" s="133">
        <v>44278502</v>
      </c>
      <c r="BI12" s="133">
        <v>43000000</v>
      </c>
    </row>
    <row r="13" spans="1:61" ht="15.75">
      <c r="A13" s="85">
        <v>12</v>
      </c>
      <c r="B13" s="176" t="s">
        <v>639</v>
      </c>
      <c r="C13" s="133"/>
      <c r="D13" s="133"/>
      <c r="E13" s="133"/>
      <c r="F13" s="133">
        <v>3038511</v>
      </c>
      <c r="G13" s="133">
        <f t="shared" si="1"/>
        <v>3038511</v>
      </c>
      <c r="H13" s="134">
        <f t="shared" si="1"/>
        <v>3038511</v>
      </c>
      <c r="I13" s="133">
        <v>3038511</v>
      </c>
      <c r="J13" s="133">
        <v>3038511</v>
      </c>
      <c r="K13" s="133">
        <v>3038511</v>
      </c>
      <c r="L13" s="133">
        <v>3038511</v>
      </c>
      <c r="M13" s="140">
        <v>923511</v>
      </c>
      <c r="N13" s="140">
        <v>937511</v>
      </c>
      <c r="O13" s="140">
        <f t="shared" si="0"/>
        <v>937511</v>
      </c>
      <c r="P13" s="140">
        <v>85011</v>
      </c>
      <c r="Q13" s="141">
        <v>8</v>
      </c>
      <c r="R13" s="139" t="str">
        <f>B13</f>
        <v>maybank - Wisata</v>
      </c>
      <c r="S13" s="138" t="s">
        <v>640</v>
      </c>
      <c r="T13" s="138"/>
      <c r="U13" s="138">
        <v>850000</v>
      </c>
      <c r="V13" s="139" t="s">
        <v>628</v>
      </c>
      <c r="W13" s="139" t="s">
        <v>629</v>
      </c>
      <c r="AD13" s="133">
        <v>11375324</v>
      </c>
      <c r="AE13" s="133">
        <v>11426324</v>
      </c>
      <c r="AF13" s="133">
        <v>6822377</v>
      </c>
      <c r="AG13" s="134">
        <v>10598461</v>
      </c>
      <c r="AH13" s="133">
        <v>20867150</v>
      </c>
      <c r="AI13" s="133">
        <v>19000000</v>
      </c>
      <c r="AJ13" s="133">
        <v>22217150</v>
      </c>
      <c r="AK13" s="133">
        <v>21000000</v>
      </c>
      <c r="AL13" s="133">
        <v>1217150</v>
      </c>
      <c r="AM13" s="133"/>
      <c r="AN13" s="133">
        <v>3108088</v>
      </c>
      <c r="AO13" s="133">
        <v>2000000</v>
      </c>
      <c r="AP13" s="140">
        <v>1177648</v>
      </c>
      <c r="AQ13" s="133"/>
      <c r="AR13" s="193">
        <v>45177648</v>
      </c>
      <c r="AS13" s="133">
        <v>42000000</v>
      </c>
      <c r="AT13" s="133">
        <v>19425148</v>
      </c>
      <c r="AU13" s="133"/>
      <c r="AV13" s="197">
        <v>35882821</v>
      </c>
      <c r="AW13" s="133">
        <v>34000000</v>
      </c>
      <c r="AX13" s="133">
        <v>45835321</v>
      </c>
      <c r="AY13" s="133">
        <v>835321</v>
      </c>
      <c r="AZ13" s="203">
        <v>38547821</v>
      </c>
      <c r="BA13" s="133">
        <v>37000000</v>
      </c>
      <c r="BB13" s="210">
        <v>30896685</v>
      </c>
      <c r="BC13" s="208">
        <v>30000000</v>
      </c>
      <c r="BD13" s="221">
        <v>53654355</v>
      </c>
      <c r="BE13" s="133">
        <v>50000000</v>
      </c>
      <c r="BF13" s="227">
        <v>121835155</v>
      </c>
      <c r="BG13" s="133">
        <v>120000000</v>
      </c>
      <c r="BH13" s="133">
        <v>121835155</v>
      </c>
      <c r="BI13" s="133">
        <v>120000000</v>
      </c>
    </row>
    <row r="14" spans="1:61" ht="15.75">
      <c r="A14" s="85">
        <v>13</v>
      </c>
      <c r="B14" s="176" t="s">
        <v>641</v>
      </c>
      <c r="C14" s="133"/>
      <c r="D14" s="133"/>
      <c r="E14" s="133"/>
      <c r="F14" s="133">
        <v>1712427</v>
      </c>
      <c r="G14" s="133">
        <v>993597</v>
      </c>
      <c r="H14" s="134">
        <v>993597</v>
      </c>
      <c r="I14" s="133">
        <v>993597</v>
      </c>
      <c r="J14" s="135">
        <f>I14</f>
        <v>993597</v>
      </c>
      <c r="K14" s="135">
        <v>987097</v>
      </c>
      <c r="L14" s="135">
        <v>957097</v>
      </c>
      <c r="M14" s="136">
        <v>2597097</v>
      </c>
      <c r="N14" s="136">
        <v>700203</v>
      </c>
      <c r="O14" s="136">
        <f t="shared" si="0"/>
        <v>700203</v>
      </c>
      <c r="P14" s="148">
        <v>1076985</v>
      </c>
      <c r="Q14" s="50"/>
      <c r="R14" s="56"/>
      <c r="S14" s="50"/>
      <c r="T14" s="50"/>
      <c r="U14" s="57">
        <f>U13+U11+U9+U8+U6+U5+U7+U3</f>
        <v>9675000</v>
      </c>
      <c r="V14" s="50"/>
      <c r="W14" s="50"/>
      <c r="AB14" s="58">
        <f>K16</f>
        <v>133284792</v>
      </c>
      <c r="AD14" s="133">
        <v>978000</v>
      </c>
      <c r="AE14" s="133">
        <v>8253100</v>
      </c>
      <c r="AF14" s="133">
        <v>11000000</v>
      </c>
      <c r="AG14" s="134">
        <v>50000521</v>
      </c>
      <c r="AH14" s="133">
        <v>13466791</v>
      </c>
      <c r="AI14" s="133">
        <v>12000000</v>
      </c>
      <c r="AJ14" s="133">
        <v>38831791</v>
      </c>
      <c r="AK14" s="133">
        <v>37000000</v>
      </c>
      <c r="AL14" s="133">
        <v>23229391</v>
      </c>
      <c r="AM14" s="133">
        <v>22000000</v>
      </c>
      <c r="AN14" s="133">
        <v>23229391</v>
      </c>
      <c r="AO14" s="133">
        <f>22200000+19000000</f>
        <v>41200000</v>
      </c>
      <c r="AP14" s="188">
        <v>28293829</v>
      </c>
      <c r="AQ14" s="133">
        <v>27000000</v>
      </c>
      <c r="AR14" s="193">
        <v>67832048</v>
      </c>
      <c r="AS14" s="133">
        <v>66000000</v>
      </c>
      <c r="AT14" s="133">
        <v>29417155</v>
      </c>
      <c r="AU14" s="133"/>
      <c r="AV14" s="133">
        <v>21598564</v>
      </c>
      <c r="AW14" s="133">
        <v>20000000</v>
      </c>
      <c r="AX14" s="133">
        <v>28592952</v>
      </c>
      <c r="AY14" s="199">
        <v>28000000</v>
      </c>
      <c r="AZ14" s="202" t="s">
        <v>642</v>
      </c>
      <c r="BA14" s="133">
        <v>22000000</v>
      </c>
      <c r="BB14" s="211">
        <v>88269082</v>
      </c>
      <c r="BC14" s="208">
        <v>87000000</v>
      </c>
      <c r="BD14" s="222">
        <v>11341382</v>
      </c>
      <c r="BE14" s="133">
        <v>10000000</v>
      </c>
      <c r="BF14" s="228" t="s">
        <v>643</v>
      </c>
      <c r="BG14" s="133">
        <v>15000000</v>
      </c>
      <c r="BH14" s="135" t="s">
        <v>643</v>
      </c>
      <c r="BI14" s="133">
        <v>15000000</v>
      </c>
    </row>
    <row r="15" spans="1:61" ht="15.75">
      <c r="A15" s="163">
        <v>14</v>
      </c>
      <c r="B15" s="177" t="s">
        <v>644</v>
      </c>
      <c r="C15" s="133"/>
      <c r="D15" s="164"/>
      <c r="E15" s="165"/>
      <c r="F15" s="133"/>
      <c r="G15" s="133"/>
      <c r="H15" s="134"/>
      <c r="I15" s="133"/>
      <c r="J15" s="135"/>
      <c r="K15" s="135"/>
      <c r="L15" s="135"/>
      <c r="M15" s="136"/>
      <c r="N15" s="136"/>
      <c r="O15" s="136"/>
      <c r="P15" s="148"/>
      <c r="Q15" s="50"/>
      <c r="R15" s="56"/>
      <c r="S15" s="50"/>
      <c r="T15" s="50"/>
      <c r="U15" s="57"/>
      <c r="V15" s="50"/>
      <c r="W15" s="50"/>
      <c r="AB15" s="58"/>
      <c r="AE15" s="133">
        <v>15000000</v>
      </c>
      <c r="AF15" s="133">
        <v>81248986</v>
      </c>
      <c r="AG15" s="134"/>
      <c r="AH15" s="133">
        <v>1940421</v>
      </c>
      <c r="AI15" s="133"/>
      <c r="AJ15" s="133">
        <v>1940421</v>
      </c>
      <c r="AK15" s="133"/>
      <c r="AL15" s="133"/>
      <c r="AM15" s="133"/>
      <c r="AN15" s="133">
        <v>1940421</v>
      </c>
      <c r="AO15" s="133"/>
      <c r="AP15" s="140">
        <v>1990421</v>
      </c>
      <c r="AQ15" s="133"/>
      <c r="AR15" s="85"/>
      <c r="AS15" s="133"/>
      <c r="AT15" s="133"/>
      <c r="AU15" s="133"/>
      <c r="AV15" s="133"/>
      <c r="AW15" s="133"/>
      <c r="AX15" s="133">
        <v>500000</v>
      </c>
      <c r="AY15" s="133"/>
      <c r="AZ15" s="133">
        <v>500000</v>
      </c>
      <c r="BA15" s="85"/>
      <c r="BB15" s="205"/>
      <c r="BC15" s="208"/>
      <c r="BD15" s="223">
        <v>1943136</v>
      </c>
      <c r="BE15" s="133"/>
      <c r="BF15" s="133"/>
      <c r="BG15" s="133"/>
      <c r="BH15" s="133"/>
      <c r="BI15" s="133"/>
    </row>
    <row r="16" spans="1:61" s="62" customFormat="1" ht="15.75">
      <c r="A16" s="770" t="s">
        <v>645</v>
      </c>
      <c r="B16" s="771"/>
      <c r="C16" s="771"/>
      <c r="D16" s="771"/>
      <c r="E16" s="772"/>
      <c r="F16" s="142">
        <f t="shared" ref="F16:P16" si="2">SUM(F2:F14)</f>
        <v>-29194876</v>
      </c>
      <c r="G16" s="143">
        <f t="shared" si="2"/>
        <v>-36347707</v>
      </c>
      <c r="H16" s="144">
        <f t="shared" si="2"/>
        <v>52668977</v>
      </c>
      <c r="I16" s="143">
        <f t="shared" si="2"/>
        <v>50579065</v>
      </c>
      <c r="J16" s="145">
        <f t="shared" si="2"/>
        <v>42939555</v>
      </c>
      <c r="K16" s="145">
        <f t="shared" si="2"/>
        <v>133284792</v>
      </c>
      <c r="L16" s="145">
        <f t="shared" si="2"/>
        <v>58097950</v>
      </c>
      <c r="M16" s="146">
        <f t="shared" si="2"/>
        <v>55666829</v>
      </c>
      <c r="N16" s="147">
        <f t="shared" si="2"/>
        <v>15653129</v>
      </c>
      <c r="O16" s="147">
        <f t="shared" si="2"/>
        <v>15653129</v>
      </c>
      <c r="P16" s="147">
        <f t="shared" si="2"/>
        <v>4790411</v>
      </c>
      <c r="Q16" s="59"/>
      <c r="R16" s="60"/>
      <c r="S16" s="59"/>
      <c r="T16" s="59"/>
      <c r="U16" s="61">
        <f>10801818</f>
        <v>10801818</v>
      </c>
      <c r="V16" s="50" t="s">
        <v>646</v>
      </c>
      <c r="W16" s="50"/>
      <c r="X16" s="61" t="s">
        <v>647</v>
      </c>
      <c r="Y16" s="61"/>
      <c r="AD16" s="142">
        <f t="shared" ref="AD16:AI16" si="3">SUM(AD2:AD15)</f>
        <v>474623615</v>
      </c>
      <c r="AE16" s="143">
        <f t="shared" si="3"/>
        <v>266962745</v>
      </c>
      <c r="AF16" s="143">
        <f t="shared" si="3"/>
        <v>182629791</v>
      </c>
      <c r="AG16" s="144">
        <f t="shared" si="3"/>
        <v>392175789</v>
      </c>
      <c r="AH16" s="142">
        <f t="shared" si="3"/>
        <v>108818392</v>
      </c>
      <c r="AI16" s="142">
        <f t="shared" si="3"/>
        <v>91000000</v>
      </c>
      <c r="AJ16" s="142"/>
      <c r="AK16" s="142">
        <f>SUM(AK2:AK15)</f>
        <v>163000000</v>
      </c>
      <c r="AL16" s="142"/>
      <c r="AM16" s="143">
        <f>SUM(AM2:AM15)</f>
        <v>65000000</v>
      </c>
      <c r="AN16" s="143"/>
      <c r="AO16" s="143">
        <f>SUM(AO2:AO15)</f>
        <v>115300000</v>
      </c>
      <c r="AP16" s="188"/>
      <c r="AQ16" s="142">
        <f>SUM(AQ2:AQ15)</f>
        <v>299931949</v>
      </c>
      <c r="AR16" s="176"/>
      <c r="AS16" s="142">
        <f>SUM(AS2:AS15)</f>
        <v>189582989</v>
      </c>
      <c r="AT16" s="142"/>
      <c r="AU16" s="142">
        <f>SUM(AU2:AU15)</f>
        <v>470837324</v>
      </c>
      <c r="AV16" s="142"/>
      <c r="AW16" s="142">
        <f>SUM(AW2:AW15)</f>
        <v>315470701</v>
      </c>
      <c r="AX16" s="142"/>
      <c r="AY16" s="142">
        <f>SUM(AY2:AY15)</f>
        <v>82622022</v>
      </c>
      <c r="AZ16" s="176"/>
      <c r="BA16" s="146">
        <f>SUM(BA2:BA15)</f>
        <v>173612851</v>
      </c>
      <c r="BB16" s="207"/>
      <c r="BC16" s="209">
        <f>SUM(BC2:BC15)</f>
        <v>122399951</v>
      </c>
      <c r="BD16" s="142"/>
      <c r="BE16" s="142">
        <f>SUM(BE2:BE15)</f>
        <v>342347075</v>
      </c>
      <c r="BF16" s="142"/>
      <c r="BG16" s="142">
        <f>SUM(BG2:BG15)</f>
        <v>212000000</v>
      </c>
      <c r="BH16" s="142"/>
      <c r="BI16" s="142">
        <f>SUM(BI2:BI15)</f>
        <v>315149921</v>
      </c>
    </row>
    <row r="17" spans="1:64" s="65" customFormat="1">
      <c r="A17" s="63"/>
      <c r="B17" s="63"/>
      <c r="C17" s="63"/>
      <c r="D17" s="63"/>
      <c r="E17" s="63"/>
      <c r="F17" s="64"/>
      <c r="G17" s="64"/>
      <c r="J17" s="66" t="s">
        <v>1</v>
      </c>
      <c r="K17" s="66"/>
      <c r="L17" s="66"/>
      <c r="N17" s="65" t="s">
        <v>648</v>
      </c>
      <c r="O17" s="67">
        <v>10801818</v>
      </c>
      <c r="P17" s="67"/>
      <c r="Q17" s="67"/>
      <c r="R17" s="68"/>
      <c r="S17" s="67"/>
      <c r="T17" s="67"/>
      <c r="U17" s="69">
        <f>U16-U14</f>
        <v>1126818</v>
      </c>
      <c r="V17" s="70">
        <v>33768838</v>
      </c>
      <c r="W17" s="70"/>
      <c r="X17" s="67" t="s">
        <v>649</v>
      </c>
      <c r="Y17" s="67">
        <v>2000000</v>
      </c>
      <c r="AB17" s="67">
        <v>128445642</v>
      </c>
      <c r="AE17" s="67"/>
      <c r="AK17" s="67"/>
      <c r="AP17" s="67"/>
      <c r="AQ17" s="67"/>
      <c r="BF17" s="67"/>
      <c r="BG17" s="67"/>
      <c r="BH17" s="67"/>
      <c r="BI17" s="67"/>
    </row>
    <row r="18" spans="1:64" s="65" customFormat="1">
      <c r="A18" s="63"/>
      <c r="B18" s="63"/>
      <c r="C18" s="63"/>
      <c r="D18" s="63"/>
      <c r="E18" s="63"/>
      <c r="F18" s="64"/>
      <c r="G18" s="64"/>
      <c r="J18" s="66"/>
      <c r="K18" s="66"/>
      <c r="L18" s="66"/>
      <c r="O18" s="67"/>
      <c r="P18" s="67"/>
      <c r="Q18" s="67"/>
      <c r="R18" s="68"/>
      <c r="S18" s="67"/>
      <c r="T18" s="67"/>
      <c r="U18" s="69"/>
      <c r="V18" s="70"/>
      <c r="W18" s="70"/>
      <c r="X18" s="67"/>
      <c r="Y18" s="67"/>
      <c r="AB18" s="67"/>
      <c r="AE18" s="67"/>
      <c r="AK18" s="67"/>
      <c r="AN18" s="65" t="s">
        <v>650</v>
      </c>
      <c r="AO18" s="67">
        <v>113117500</v>
      </c>
      <c r="AP18" s="67"/>
      <c r="AQ18" s="67"/>
      <c r="BH18" s="67"/>
      <c r="BI18" s="67"/>
    </row>
    <row r="19" spans="1:64" s="65" customFormat="1">
      <c r="A19" s="63"/>
      <c r="B19" s="63"/>
      <c r="C19" s="63"/>
      <c r="D19" s="63"/>
      <c r="E19" s="63"/>
      <c r="F19" s="64"/>
      <c r="G19" s="64"/>
      <c r="J19" s="66"/>
      <c r="K19" s="66"/>
      <c r="L19" s="66"/>
      <c r="O19" s="67"/>
      <c r="P19" s="67"/>
      <c r="Q19" s="67"/>
      <c r="R19" s="68"/>
      <c r="S19" s="67"/>
      <c r="T19" s="67"/>
      <c r="U19" s="69"/>
      <c r="V19" s="70"/>
      <c r="W19" s="70"/>
      <c r="X19" s="67"/>
      <c r="Y19" s="67"/>
      <c r="AB19" s="67"/>
      <c r="AE19" s="67"/>
      <c r="AK19" s="67"/>
      <c r="AO19" s="67"/>
      <c r="AP19" s="67"/>
      <c r="AQ19" s="67"/>
      <c r="BH19" s="67"/>
      <c r="BI19" s="67"/>
    </row>
    <row r="20" spans="1:64" s="65" customFormat="1">
      <c r="A20" s="63"/>
      <c r="B20" s="63"/>
      <c r="C20" s="63"/>
      <c r="D20" s="195">
        <v>88932100</v>
      </c>
      <c r="E20" s="63"/>
      <c r="F20" s="64"/>
      <c r="G20" s="64"/>
      <c r="J20" s="66"/>
      <c r="K20" s="66"/>
      <c r="L20" s="66"/>
      <c r="O20" s="67"/>
      <c r="P20" s="67"/>
      <c r="Q20" s="67"/>
      <c r="R20" s="68"/>
      <c r="S20" s="67"/>
      <c r="T20" s="67"/>
      <c r="U20" s="69"/>
      <c r="V20" s="70"/>
      <c r="W20" s="70"/>
      <c r="X20" s="67"/>
      <c r="Y20" s="67"/>
      <c r="AB20" s="67"/>
      <c r="AE20" s="67"/>
      <c r="AK20" s="67"/>
      <c r="AO20" s="69"/>
      <c r="AP20" s="67"/>
      <c r="AQ20" s="67"/>
      <c r="AW20" s="69">
        <f>AW16-250000000</f>
        <v>65470701</v>
      </c>
      <c r="BH20" s="67"/>
      <c r="BI20" s="67"/>
      <c r="BL20" s="69"/>
    </row>
    <row r="21" spans="1:64" s="65" customFormat="1">
      <c r="A21" s="63"/>
      <c r="B21" s="63"/>
      <c r="C21" s="63"/>
      <c r="D21" s="195">
        <v>165179000</v>
      </c>
      <c r="E21" s="63"/>
      <c r="F21" s="64"/>
      <c r="G21" s="64"/>
      <c r="J21" s="66"/>
      <c r="K21" s="66"/>
      <c r="L21" s="66"/>
      <c r="O21" s="67"/>
      <c r="P21" s="67"/>
      <c r="Q21" s="67"/>
      <c r="R21" s="68"/>
      <c r="S21" s="67"/>
      <c r="T21" s="67"/>
      <c r="U21" s="69"/>
      <c r="V21" s="70"/>
      <c r="W21" s="70"/>
      <c r="X21" s="67"/>
      <c r="Y21" s="67"/>
      <c r="AB21" s="67"/>
      <c r="AE21" s="67"/>
      <c r="AK21" s="67"/>
      <c r="AP21" s="67"/>
      <c r="AQ21" s="67"/>
      <c r="BH21" s="67"/>
      <c r="BI21" s="67"/>
    </row>
    <row r="22" spans="1:64" s="65" customFormat="1">
      <c r="A22" s="63"/>
      <c r="B22" s="63"/>
      <c r="C22" s="63"/>
      <c r="D22" s="63"/>
      <c r="E22" s="63"/>
      <c r="F22" s="64"/>
      <c r="G22" s="64"/>
      <c r="J22" s="66"/>
      <c r="K22" s="66"/>
      <c r="L22" s="66"/>
      <c r="O22" s="67"/>
      <c r="P22" s="67"/>
      <c r="Q22" s="67"/>
      <c r="R22" s="68"/>
      <c r="S22" s="67"/>
      <c r="T22" s="67"/>
      <c r="U22" s="69"/>
      <c r="V22" s="70"/>
      <c r="W22" s="70"/>
      <c r="X22" s="67"/>
      <c r="Y22" s="67"/>
      <c r="AB22" s="67"/>
      <c r="AE22" s="67"/>
      <c r="AK22" s="67"/>
      <c r="AP22" s="67"/>
      <c r="AQ22" s="67"/>
      <c r="BH22" s="67"/>
      <c r="BI22" s="67"/>
    </row>
    <row r="23" spans="1:64" s="65" customFormat="1">
      <c r="A23" s="63"/>
      <c r="B23" s="63"/>
      <c r="C23" s="63"/>
      <c r="D23" s="63"/>
      <c r="E23" s="63"/>
      <c r="F23" s="64"/>
      <c r="G23" s="64"/>
      <c r="J23" s="66"/>
      <c r="K23" s="66"/>
      <c r="L23" s="66"/>
      <c r="O23" s="67"/>
      <c r="P23" s="67"/>
      <c r="Q23" s="67"/>
      <c r="R23" s="68"/>
      <c r="S23" s="67"/>
      <c r="T23" s="67"/>
      <c r="U23" s="69"/>
      <c r="V23" s="70"/>
      <c r="W23" s="70"/>
      <c r="X23" s="67"/>
      <c r="Y23" s="67"/>
      <c r="AB23" s="67"/>
      <c r="AE23" s="67"/>
      <c r="AK23" s="67"/>
      <c r="AP23" s="67"/>
      <c r="AQ23" s="67"/>
      <c r="BH23" s="67"/>
      <c r="BI23" s="67"/>
    </row>
    <row r="24" spans="1:64" s="65" customFormat="1">
      <c r="A24" s="63"/>
      <c r="B24" s="63"/>
      <c r="C24" s="63"/>
      <c r="D24" s="63"/>
      <c r="E24" s="63"/>
      <c r="F24" s="64"/>
      <c r="G24" s="64"/>
      <c r="J24" s="66"/>
      <c r="K24" s="66"/>
      <c r="L24" s="66"/>
      <c r="O24" s="67"/>
      <c r="P24" s="67"/>
      <c r="Q24" s="67"/>
      <c r="R24" s="68"/>
      <c r="S24" s="67"/>
      <c r="T24" s="67"/>
      <c r="U24" s="69"/>
      <c r="V24" s="70"/>
      <c r="W24" s="70"/>
      <c r="X24" s="67"/>
      <c r="Y24" s="67"/>
      <c r="AB24" s="67"/>
      <c r="AE24" s="67"/>
      <c r="AK24" s="67"/>
      <c r="AP24" s="67"/>
      <c r="AQ24" s="67"/>
      <c r="BH24" s="67"/>
      <c r="BI24" s="67"/>
    </row>
    <row r="25" spans="1:64" s="65" customFormat="1">
      <c r="A25" s="63"/>
      <c r="B25" s="63"/>
      <c r="C25" s="63"/>
      <c r="D25" s="63"/>
      <c r="E25" s="63"/>
      <c r="F25" s="64"/>
      <c r="G25" s="64"/>
      <c r="J25" s="66"/>
      <c r="K25" s="66"/>
      <c r="L25" s="66"/>
      <c r="O25" s="67"/>
      <c r="P25" s="67"/>
      <c r="Q25" s="67"/>
      <c r="R25" s="68"/>
      <c r="S25" s="67"/>
      <c r="T25" s="67"/>
      <c r="U25" s="69"/>
      <c r="V25" s="70"/>
      <c r="W25" s="70"/>
      <c r="X25" s="67"/>
      <c r="Y25" s="67"/>
      <c r="AB25" s="67"/>
      <c r="AE25" s="67"/>
      <c r="AK25" s="67"/>
      <c r="AP25" s="67"/>
      <c r="AQ25" s="67"/>
      <c r="BH25" s="67"/>
      <c r="BI25" s="67"/>
    </row>
    <row r="26" spans="1:64" s="65" customFormat="1">
      <c r="A26" s="63"/>
      <c r="B26" s="63"/>
      <c r="C26" s="63"/>
      <c r="D26" s="63"/>
      <c r="E26" s="63"/>
      <c r="F26" s="64"/>
      <c r="G26" s="64"/>
      <c r="J26" s="66"/>
      <c r="K26" s="66"/>
      <c r="L26" s="66"/>
      <c r="O26" s="67"/>
      <c r="P26" s="67"/>
      <c r="Q26" s="67"/>
      <c r="R26" s="68"/>
      <c r="S26" s="67"/>
      <c r="T26" s="67"/>
      <c r="U26" s="69"/>
      <c r="V26" s="70"/>
      <c r="W26" s="70"/>
      <c r="X26" s="67"/>
      <c r="Y26" s="67"/>
      <c r="AB26" s="67"/>
      <c r="AE26" s="67"/>
      <c r="AK26" s="67"/>
      <c r="AP26" s="67"/>
      <c r="AQ26" s="67"/>
      <c r="BH26" s="67"/>
      <c r="BI26" s="67"/>
    </row>
    <row r="27" spans="1:64" s="65" customFormat="1">
      <c r="A27" s="63"/>
      <c r="B27" s="63"/>
      <c r="C27" s="63"/>
      <c r="D27" s="63"/>
      <c r="E27" s="63"/>
      <c r="F27" s="64"/>
      <c r="G27" s="64"/>
      <c r="J27" s="66"/>
      <c r="K27" s="66"/>
      <c r="L27" s="66"/>
      <c r="O27" s="67"/>
      <c r="P27" s="67"/>
      <c r="Q27" s="67"/>
      <c r="R27" s="68"/>
      <c r="S27" s="67"/>
      <c r="T27" s="67"/>
      <c r="U27" s="69"/>
      <c r="V27" s="70"/>
      <c r="W27" s="70"/>
      <c r="X27" s="67"/>
      <c r="Y27" s="67"/>
      <c r="AB27" s="67"/>
      <c r="AE27" s="67"/>
      <c r="AK27" s="67"/>
      <c r="AP27" s="67"/>
      <c r="AQ27" s="67"/>
      <c r="BH27" s="67"/>
      <c r="BI27" s="67"/>
    </row>
    <row r="28" spans="1:64" s="65" customFormat="1">
      <c r="A28" s="63"/>
      <c r="B28" s="63"/>
      <c r="C28" s="63"/>
      <c r="D28" s="63"/>
      <c r="E28" s="63"/>
      <c r="F28" s="64"/>
      <c r="G28" s="64"/>
      <c r="J28" s="66"/>
      <c r="K28" s="66"/>
      <c r="L28" s="66"/>
      <c r="O28" s="67"/>
      <c r="P28" s="67"/>
      <c r="Q28" s="67"/>
      <c r="R28" s="68"/>
      <c r="S28" s="67"/>
      <c r="T28" s="67"/>
      <c r="U28" s="69"/>
      <c r="V28" s="70"/>
      <c r="W28" s="70"/>
      <c r="X28" s="67"/>
      <c r="Y28" s="67"/>
      <c r="AB28" s="67"/>
      <c r="AE28" s="67"/>
      <c r="AK28" s="67"/>
      <c r="AP28" s="67"/>
      <c r="AQ28" s="67"/>
      <c r="BH28" s="67"/>
      <c r="BI28" s="67"/>
    </row>
    <row r="29" spans="1:64" s="65" customFormat="1">
      <c r="A29" s="63"/>
      <c r="B29" s="63"/>
      <c r="C29" s="63"/>
      <c r="D29" s="63"/>
      <c r="E29" s="63"/>
      <c r="F29" s="64"/>
      <c r="G29" s="64"/>
      <c r="J29" s="66"/>
      <c r="K29" s="66"/>
      <c r="L29" s="66"/>
      <c r="O29" s="67"/>
      <c r="P29" s="67"/>
      <c r="Q29" s="67"/>
      <c r="R29" s="68"/>
      <c r="S29" s="67"/>
      <c r="T29" s="67"/>
      <c r="U29" s="69"/>
      <c r="V29" s="70"/>
      <c r="W29" s="70"/>
      <c r="X29" s="67"/>
      <c r="Y29" s="67"/>
      <c r="AB29" s="67"/>
      <c r="AE29" s="67"/>
      <c r="AK29" s="67"/>
      <c r="AP29" s="67"/>
      <c r="AQ29" s="67"/>
      <c r="BH29" s="67"/>
      <c r="BI29" s="67"/>
    </row>
    <row r="30" spans="1:64" s="65" customFormat="1">
      <c r="A30" s="63"/>
      <c r="B30" s="63"/>
      <c r="C30" s="63"/>
      <c r="D30" s="63"/>
      <c r="E30" s="63"/>
      <c r="F30" s="64"/>
      <c r="G30" s="64"/>
      <c r="J30" s="66"/>
      <c r="K30" s="66"/>
      <c r="L30" s="66"/>
      <c r="O30" s="67"/>
      <c r="P30" s="67"/>
      <c r="Q30" s="67"/>
      <c r="R30" s="68"/>
      <c r="S30" s="67"/>
      <c r="T30" s="67"/>
      <c r="U30" s="69"/>
      <c r="V30" s="70"/>
      <c r="W30" s="70"/>
      <c r="X30" s="67"/>
      <c r="Y30" s="67"/>
      <c r="AB30" s="67"/>
      <c r="AE30" s="67"/>
      <c r="AK30" s="67"/>
      <c r="AP30" s="67"/>
      <c r="AQ30" s="67"/>
      <c r="BH30" s="67"/>
      <c r="BI30" s="67"/>
    </row>
    <row r="31" spans="1:64" s="65" customFormat="1">
      <c r="A31" s="63"/>
      <c r="B31" s="63"/>
      <c r="C31" s="63"/>
      <c r="D31" s="63"/>
      <c r="E31" s="63"/>
      <c r="F31" s="64"/>
      <c r="G31" s="64"/>
      <c r="J31" s="66"/>
      <c r="K31" s="66"/>
      <c r="L31" s="66"/>
      <c r="O31" s="67"/>
      <c r="P31" s="67"/>
      <c r="Q31" s="67"/>
      <c r="R31" s="68"/>
      <c r="S31" s="67"/>
      <c r="T31" s="67"/>
      <c r="U31" s="69"/>
      <c r="V31" s="70"/>
      <c r="W31" s="70"/>
      <c r="X31" s="67"/>
      <c r="Y31" s="67"/>
      <c r="AB31" s="67"/>
      <c r="AE31" s="67"/>
      <c r="AK31" s="67"/>
      <c r="AP31" s="67"/>
      <c r="AQ31" s="67"/>
      <c r="BH31" s="67"/>
      <c r="BI31" s="67"/>
    </row>
    <row r="32" spans="1:64" s="65" customFormat="1">
      <c r="A32" s="63"/>
      <c r="B32" s="63"/>
      <c r="C32" s="63"/>
      <c r="D32" s="63"/>
      <c r="E32" s="63"/>
      <c r="F32" s="64"/>
      <c r="G32" s="64"/>
      <c r="J32" s="66"/>
      <c r="K32" s="66"/>
      <c r="L32" s="66"/>
      <c r="O32" s="67"/>
      <c r="P32" s="67"/>
      <c r="Q32" s="67"/>
      <c r="R32" s="68"/>
      <c r="S32" s="67"/>
      <c r="T32" s="67"/>
      <c r="U32" s="69"/>
      <c r="V32" s="70"/>
      <c r="W32" s="70"/>
      <c r="X32" s="67"/>
      <c r="Y32" s="67"/>
      <c r="AB32" s="67"/>
      <c r="AE32" s="67"/>
      <c r="AK32" s="67"/>
      <c r="AP32" s="67"/>
      <c r="AQ32" s="67"/>
      <c r="BH32" s="67"/>
      <c r="BI32" s="67"/>
    </row>
    <row r="33" spans="1:61" s="65" customFormat="1">
      <c r="A33" s="63"/>
      <c r="B33" s="63"/>
      <c r="C33" s="63"/>
      <c r="D33" s="63"/>
      <c r="E33" s="63"/>
      <c r="F33" s="64"/>
      <c r="G33" s="64"/>
      <c r="J33" s="66"/>
      <c r="K33" s="66"/>
      <c r="L33" s="66"/>
      <c r="O33" s="67"/>
      <c r="P33" s="67"/>
      <c r="Q33" s="67"/>
      <c r="R33" s="68"/>
      <c r="S33" s="67"/>
      <c r="T33" s="67"/>
      <c r="U33" s="69"/>
      <c r="V33" s="70"/>
      <c r="W33" s="70"/>
      <c r="X33" s="67"/>
      <c r="Y33" s="67"/>
      <c r="AB33" s="67"/>
      <c r="AE33" s="67"/>
      <c r="AK33" s="67"/>
      <c r="AP33" s="67"/>
      <c r="AQ33" s="67"/>
      <c r="BH33" s="67"/>
      <c r="BI33" s="67"/>
    </row>
    <row r="34" spans="1:61" s="65" customFormat="1">
      <c r="A34" s="63"/>
      <c r="B34" s="63"/>
      <c r="C34" s="63"/>
      <c r="D34" s="63"/>
      <c r="E34" s="63"/>
      <c r="F34" s="64"/>
      <c r="G34" s="64"/>
      <c r="J34" s="66"/>
      <c r="K34" s="66"/>
      <c r="L34" s="66"/>
      <c r="O34" s="67"/>
      <c r="P34" s="67"/>
      <c r="Q34" s="67"/>
      <c r="R34" s="68"/>
      <c r="S34" s="67"/>
      <c r="T34" s="67"/>
      <c r="U34" s="69"/>
      <c r="V34" s="70"/>
      <c r="W34" s="70"/>
      <c r="X34" s="67"/>
      <c r="Y34" s="67"/>
      <c r="AB34" s="67"/>
      <c r="AE34" s="67"/>
      <c r="AK34" s="67"/>
      <c r="AP34" s="67"/>
      <c r="AQ34" s="67"/>
      <c r="BH34" s="67"/>
      <c r="BI34" s="67"/>
    </row>
    <row r="35" spans="1:61" s="65" customFormat="1">
      <c r="A35" s="63"/>
      <c r="B35" s="63"/>
      <c r="C35" s="63"/>
      <c r="D35" s="63"/>
      <c r="E35" s="63"/>
      <c r="F35" s="64"/>
      <c r="G35" s="64"/>
      <c r="J35" s="66"/>
      <c r="K35" s="66"/>
      <c r="L35" s="66"/>
      <c r="O35" s="67"/>
      <c r="P35" s="67"/>
      <c r="Q35" s="67"/>
      <c r="R35" s="68"/>
      <c r="S35" s="67"/>
      <c r="T35" s="67"/>
      <c r="U35" s="69"/>
      <c r="V35" s="70"/>
      <c r="W35" s="70"/>
      <c r="X35" s="67"/>
      <c r="Y35" s="67"/>
      <c r="AB35" s="67"/>
      <c r="AE35" s="67"/>
      <c r="AK35" s="67"/>
      <c r="AP35" s="67"/>
      <c r="AQ35" s="67"/>
      <c r="BH35" s="67"/>
      <c r="BI35" s="67"/>
    </row>
    <row r="36" spans="1:61" s="65" customFormat="1">
      <c r="A36" s="63"/>
      <c r="B36" s="63"/>
      <c r="C36" s="63"/>
      <c r="D36" s="63"/>
      <c r="E36" s="63"/>
      <c r="F36" s="64"/>
      <c r="G36" s="64"/>
      <c r="J36" s="66"/>
      <c r="K36" s="66"/>
      <c r="L36" s="66"/>
      <c r="O36" s="67"/>
      <c r="P36" s="67"/>
      <c r="Q36" s="67"/>
      <c r="R36" s="68"/>
      <c r="S36" s="67"/>
      <c r="T36" s="67"/>
      <c r="U36" s="69"/>
      <c r="V36" s="70"/>
      <c r="W36" s="70"/>
      <c r="X36" s="67"/>
      <c r="Y36" s="67"/>
      <c r="AB36" s="67"/>
      <c r="AE36" s="67"/>
      <c r="AK36" s="67"/>
      <c r="AP36" s="67"/>
      <c r="AQ36" s="67"/>
      <c r="BH36" s="67"/>
      <c r="BI36" s="67"/>
    </row>
    <row r="37" spans="1:61" s="65" customFormat="1">
      <c r="A37" s="63"/>
      <c r="B37" s="63"/>
      <c r="C37" s="63"/>
      <c r="D37" s="63"/>
      <c r="E37" s="63"/>
      <c r="F37" s="64"/>
      <c r="G37" s="64"/>
      <c r="J37" s="66"/>
      <c r="K37" s="66"/>
      <c r="L37" s="66"/>
      <c r="O37" s="67"/>
      <c r="P37" s="67"/>
      <c r="Q37" s="67"/>
      <c r="R37" s="68"/>
      <c r="S37" s="67"/>
      <c r="T37" s="67"/>
      <c r="U37" s="69"/>
      <c r="V37" s="70"/>
      <c r="W37" s="70"/>
      <c r="X37" s="67"/>
      <c r="Y37" s="67"/>
      <c r="AB37" s="67"/>
      <c r="AE37" s="67"/>
      <c r="AK37" s="67"/>
      <c r="AP37" s="67"/>
      <c r="AQ37" s="67"/>
      <c r="BH37" s="67"/>
      <c r="BI37" s="67"/>
    </row>
    <row r="38" spans="1:61" s="65" customFormat="1">
      <c r="B38" s="63" t="s">
        <v>651</v>
      </c>
      <c r="C38" s="63"/>
      <c r="D38" s="63"/>
      <c r="E38" s="63"/>
      <c r="F38" s="64"/>
      <c r="G38" s="64"/>
      <c r="J38" s="66" t="s">
        <v>1</v>
      </c>
      <c r="K38" s="66"/>
      <c r="L38" s="66"/>
      <c r="M38" s="66"/>
      <c r="N38" s="66" t="s">
        <v>652</v>
      </c>
      <c r="O38" s="71">
        <f>O16-O17</f>
        <v>4851311</v>
      </c>
      <c r="P38" s="71"/>
      <c r="Q38" s="71"/>
      <c r="R38" s="72"/>
      <c r="S38" s="71"/>
      <c r="T38" s="71"/>
      <c r="U38" s="66"/>
      <c r="V38" s="73">
        <f>L16-V17</f>
        <v>24329112</v>
      </c>
      <c r="W38" s="73"/>
      <c r="X38" s="67" t="s">
        <v>653</v>
      </c>
      <c r="Y38" s="67">
        <v>75000</v>
      </c>
      <c r="AE38" s="67"/>
      <c r="AK38" s="67"/>
      <c r="AP38" s="67"/>
      <c r="AQ38" s="67"/>
      <c r="BH38" s="67"/>
      <c r="BI38" s="67"/>
    </row>
    <row r="39" spans="1:61" s="65" customFormat="1">
      <c r="A39" s="74">
        <v>1</v>
      </c>
      <c r="B39" s="74" t="s">
        <v>654</v>
      </c>
      <c r="C39" s="74"/>
      <c r="D39" s="74"/>
      <c r="E39" s="74"/>
      <c r="F39" s="49"/>
      <c r="G39" s="49"/>
      <c r="H39" s="67">
        <f>[1]Tabungan!D30+[1]Tabungan!D36+[1]Tabungan!D37</f>
        <v>360000000</v>
      </c>
      <c r="J39" s="66" t="s">
        <v>1</v>
      </c>
      <c r="K39" s="66"/>
      <c r="L39" s="66"/>
      <c r="M39" s="66"/>
      <c r="N39" s="66" t="s">
        <v>655</v>
      </c>
      <c r="O39" s="71">
        <f>'[2]Biaya Corporate-update Agt'!$H$5</f>
        <v>0</v>
      </c>
      <c r="P39" s="71"/>
      <c r="Q39" s="71"/>
      <c r="R39" s="72"/>
      <c r="S39" s="71">
        <f>O39-O2</f>
        <v>-2310439</v>
      </c>
      <c r="T39" s="71"/>
      <c r="U39" s="73">
        <v>9525203</v>
      </c>
      <c r="V39" s="66"/>
      <c r="W39" s="66"/>
      <c r="X39" s="67" t="s">
        <v>656</v>
      </c>
      <c r="Y39" s="67">
        <v>13000</v>
      </c>
      <c r="AE39" s="67"/>
      <c r="AK39" s="67"/>
      <c r="AP39" s="67"/>
      <c r="AQ39" s="67"/>
      <c r="BH39" s="67"/>
      <c r="BI39" s="67"/>
    </row>
    <row r="40" spans="1:61" s="65" customFormat="1">
      <c r="A40" s="74">
        <v>2</v>
      </c>
      <c r="B40" s="74" t="s">
        <v>657</v>
      </c>
      <c r="C40" s="74"/>
      <c r="D40" s="74"/>
      <c r="E40" s="74"/>
      <c r="F40" s="49"/>
      <c r="G40" s="49"/>
      <c r="H40" s="67">
        <f>[1]Tabungan!D20</f>
        <v>100000000</v>
      </c>
      <c r="J40" s="66" t="s">
        <v>1</v>
      </c>
      <c r="K40" s="66"/>
      <c r="L40" s="66"/>
      <c r="M40" s="66"/>
      <c r="N40" s="66" t="s">
        <v>652</v>
      </c>
      <c r="O40" s="73">
        <f>O38-O39</f>
        <v>4851311</v>
      </c>
      <c r="P40" s="73"/>
      <c r="Q40" s="73"/>
      <c r="R40" s="75"/>
      <c r="S40" s="73"/>
      <c r="T40" s="73"/>
      <c r="U40" s="73">
        <f>U16-U39</f>
        <v>1276615</v>
      </c>
      <c r="V40" s="66"/>
      <c r="W40" s="66"/>
      <c r="X40" s="67" t="s">
        <v>658</v>
      </c>
      <c r="Y40" s="67">
        <v>2500000</v>
      </c>
      <c r="AE40" s="67"/>
      <c r="AG40" s="65" t="s">
        <v>659</v>
      </c>
      <c r="AK40" s="67"/>
      <c r="AP40" s="67"/>
      <c r="AQ40" s="67"/>
      <c r="BH40" s="67"/>
      <c r="BI40" s="67"/>
    </row>
    <row r="41" spans="1:61" s="65" customFormat="1">
      <c r="A41" s="74">
        <v>3</v>
      </c>
      <c r="B41" s="74" t="s">
        <v>660</v>
      </c>
      <c r="C41" s="74"/>
      <c r="D41" s="74"/>
      <c r="E41" s="74"/>
      <c r="F41" s="49"/>
      <c r="G41" s="49"/>
      <c r="H41" s="67">
        <f>[1]Tabungan!D24</f>
        <v>25000000</v>
      </c>
      <c r="J41" s="66" t="s">
        <v>1</v>
      </c>
      <c r="K41" s="66"/>
      <c r="L41" s="66"/>
      <c r="M41" s="66"/>
      <c r="N41" s="66"/>
      <c r="O41" s="66"/>
      <c r="P41" s="66"/>
      <c r="Q41" s="66"/>
      <c r="R41" s="76"/>
      <c r="S41" s="66"/>
      <c r="T41" s="66"/>
      <c r="U41" s="66"/>
      <c r="V41" s="66"/>
      <c r="W41" s="66"/>
      <c r="X41" s="67" t="s">
        <v>661</v>
      </c>
      <c r="Y41" s="67">
        <v>12885000</v>
      </c>
      <c r="AB41" s="69">
        <f>O17-6200000</f>
        <v>4601818</v>
      </c>
      <c r="AE41" s="67"/>
      <c r="AK41" s="67"/>
      <c r="AP41" s="67"/>
      <c r="AQ41" s="67"/>
      <c r="BH41" s="67"/>
      <c r="BI41" s="67"/>
    </row>
    <row r="42" spans="1:61" s="65" customFormat="1">
      <c r="A42" s="74">
        <v>4</v>
      </c>
      <c r="B42" s="65" t="s">
        <v>662</v>
      </c>
      <c r="C42" s="74"/>
      <c r="D42" s="74"/>
      <c r="E42" s="74"/>
      <c r="F42" s="49"/>
      <c r="G42" s="49"/>
      <c r="H42" s="67">
        <f>[1]Tabungan!D33</f>
        <v>50000000</v>
      </c>
      <c r="J42" s="66" t="s">
        <v>1</v>
      </c>
      <c r="K42" s="66"/>
      <c r="L42" s="66"/>
      <c r="M42" s="66"/>
      <c r="N42" s="66"/>
      <c r="O42" s="66"/>
      <c r="P42" s="66"/>
      <c r="Q42" s="66"/>
      <c r="R42" s="76"/>
      <c r="S42" s="66"/>
      <c r="T42" s="66"/>
      <c r="U42" s="66"/>
      <c r="V42" s="66"/>
      <c r="W42" s="66"/>
      <c r="X42" s="67" t="s">
        <v>663</v>
      </c>
      <c r="Y42" s="67" t="s">
        <v>664</v>
      </c>
      <c r="AE42" s="67"/>
      <c r="AK42" s="67"/>
      <c r="AP42" s="67"/>
      <c r="AQ42" s="67"/>
      <c r="BH42" s="67"/>
      <c r="BI42" s="67"/>
    </row>
    <row r="43" spans="1:61" s="65" customFormat="1">
      <c r="A43" s="74">
        <v>5</v>
      </c>
      <c r="B43" s="74" t="s">
        <v>665</v>
      </c>
      <c r="C43" s="74"/>
      <c r="D43" s="74"/>
      <c r="E43" s="74"/>
      <c r="F43" s="49"/>
      <c r="G43" s="49"/>
      <c r="H43" s="64">
        <f>E10</f>
        <v>234575375</v>
      </c>
      <c r="J43" s="77"/>
      <c r="K43" s="77"/>
      <c r="L43" s="77"/>
      <c r="M43" s="77"/>
      <c r="N43" s="77"/>
      <c r="O43" s="77"/>
      <c r="P43" s="77"/>
      <c r="Q43" s="77"/>
      <c r="R43" s="74"/>
      <c r="S43" s="77"/>
      <c r="T43" s="77"/>
      <c r="U43" s="77"/>
      <c r="V43" s="77"/>
      <c r="W43" s="77"/>
      <c r="X43" s="67"/>
      <c r="Y43" s="67"/>
      <c r="AE43" s="67"/>
      <c r="AK43" s="67"/>
      <c r="AP43" s="67"/>
      <c r="AQ43" s="67"/>
      <c r="BH43" s="67"/>
      <c r="BI43" s="67"/>
    </row>
    <row r="44" spans="1:61" s="65" customFormat="1">
      <c r="A44" s="74">
        <v>6</v>
      </c>
      <c r="B44" s="74" t="s">
        <v>666</v>
      </c>
      <c r="C44" s="74"/>
      <c r="D44" s="74"/>
      <c r="E44" s="74"/>
      <c r="F44" s="49"/>
      <c r="G44" s="49"/>
      <c r="H44" s="64">
        <v>120000000</v>
      </c>
      <c r="J44" s="77"/>
      <c r="K44" s="77"/>
      <c r="L44" s="77"/>
      <c r="M44" s="77"/>
      <c r="N44" s="77"/>
      <c r="O44" s="77"/>
      <c r="P44" s="77"/>
      <c r="Q44" s="77"/>
      <c r="R44" s="74"/>
      <c r="S44" s="77"/>
      <c r="T44" s="77"/>
      <c r="U44" s="77"/>
      <c r="V44" s="77"/>
      <c r="W44" s="77"/>
      <c r="X44" s="64"/>
      <c r="Y44" s="67"/>
      <c r="AE44" s="67"/>
      <c r="AK44" s="67"/>
      <c r="AP44" s="67"/>
      <c r="AQ44" s="67"/>
      <c r="BH44" s="67"/>
      <c r="BI44" s="67"/>
    </row>
    <row r="45" spans="1:61" s="65" customFormat="1">
      <c r="A45" s="768" t="s">
        <v>667</v>
      </c>
      <c r="B45" s="768"/>
      <c r="C45" s="768"/>
      <c r="D45" s="768"/>
      <c r="E45" s="768"/>
      <c r="F45" s="768"/>
      <c r="G45" s="768"/>
      <c r="H45" s="78">
        <f>SUM(H39:H44)</f>
        <v>889575375</v>
      </c>
      <c r="J45" s="77"/>
      <c r="K45" s="77"/>
      <c r="L45" s="77"/>
      <c r="M45" s="77"/>
      <c r="N45" s="77"/>
      <c r="O45" s="77"/>
      <c r="P45" s="77"/>
      <c r="Q45" s="77"/>
      <c r="R45" s="74"/>
      <c r="S45" s="77"/>
      <c r="T45" s="77"/>
      <c r="U45" s="77"/>
      <c r="V45" s="77"/>
      <c r="W45" s="77"/>
      <c r="X45" s="67"/>
      <c r="Y45" s="67"/>
      <c r="AE45" s="67"/>
      <c r="AK45" s="67"/>
      <c r="AP45" s="67"/>
      <c r="AQ45" s="67"/>
      <c r="BH45" s="67"/>
      <c r="BI45" s="67"/>
    </row>
    <row r="46" spans="1:61" s="65" customFormat="1">
      <c r="A46" s="65" t="s">
        <v>668</v>
      </c>
      <c r="H46" s="64">
        <f>H16+H45</f>
        <v>942244352</v>
      </c>
      <c r="J46" s="77"/>
      <c r="K46" s="77"/>
      <c r="L46" s="77"/>
      <c r="M46" s="77"/>
      <c r="N46" s="77"/>
      <c r="O46" s="77"/>
      <c r="P46" s="77"/>
      <c r="Q46" s="77"/>
      <c r="R46" s="74"/>
      <c r="S46" s="77"/>
      <c r="T46" s="77"/>
      <c r="U46" s="77"/>
      <c r="V46" s="77"/>
      <c r="W46" s="77"/>
      <c r="X46" s="64"/>
      <c r="Y46" s="67"/>
      <c r="AE46" s="67"/>
      <c r="AK46" s="67"/>
      <c r="AP46" s="67"/>
      <c r="AQ46" s="67"/>
      <c r="BH46" s="67"/>
      <c r="BI46" s="67"/>
    </row>
    <row r="47" spans="1:61" s="65" customFormat="1">
      <c r="A47" s="63"/>
      <c r="B47" s="63"/>
      <c r="C47" s="63"/>
      <c r="D47" s="63"/>
      <c r="E47" s="63"/>
      <c r="F47" s="64"/>
      <c r="G47" s="64"/>
      <c r="J47" s="77"/>
      <c r="K47" s="77"/>
      <c r="L47" s="77"/>
      <c r="M47" s="77"/>
      <c r="N47" s="77"/>
      <c r="O47" s="77"/>
      <c r="P47" s="77"/>
      <c r="Q47" s="77"/>
      <c r="R47" s="74"/>
      <c r="S47" s="77"/>
      <c r="T47" s="77"/>
      <c r="U47" s="77"/>
      <c r="V47" s="77"/>
      <c r="W47" s="77"/>
      <c r="X47" s="67"/>
      <c r="Y47" s="67"/>
      <c r="AE47" s="67"/>
      <c r="AK47" s="67"/>
      <c r="AP47" s="67"/>
      <c r="AQ47" s="67"/>
      <c r="BH47" s="67"/>
      <c r="BI47" s="67"/>
    </row>
    <row r="48" spans="1:61" s="65" customFormat="1">
      <c r="A48" s="63"/>
      <c r="B48" s="63"/>
      <c r="C48" s="63"/>
      <c r="D48" s="63"/>
      <c r="E48" s="63"/>
      <c r="F48" s="64"/>
      <c r="G48" s="64"/>
      <c r="J48" s="77"/>
      <c r="K48" s="77"/>
      <c r="L48" s="77"/>
      <c r="M48" s="77"/>
      <c r="N48" s="77"/>
      <c r="O48" s="77"/>
      <c r="P48" s="77"/>
      <c r="Q48" s="77"/>
      <c r="R48" s="74"/>
      <c r="S48" s="77"/>
      <c r="T48" s="77"/>
      <c r="U48" s="77"/>
      <c r="V48" s="77"/>
      <c r="W48" s="77"/>
      <c r="X48" s="67"/>
      <c r="Y48" s="67"/>
      <c r="AE48" s="67"/>
      <c r="AK48" s="67"/>
      <c r="AP48" s="67"/>
      <c r="AQ48" s="67"/>
      <c r="BH48" s="67"/>
      <c r="BI48" s="67"/>
    </row>
    <row r="49" spans="1:61" s="65" customFormat="1">
      <c r="A49" s="63"/>
      <c r="B49" s="63"/>
      <c r="C49" s="63"/>
      <c r="D49" s="63"/>
      <c r="E49" s="63"/>
      <c r="F49" s="64"/>
      <c r="G49" s="64"/>
      <c r="J49" s="77"/>
      <c r="K49" s="77"/>
      <c r="L49" s="77"/>
      <c r="M49" s="77"/>
      <c r="N49" s="77"/>
      <c r="O49" s="77"/>
      <c r="P49" s="77"/>
      <c r="Q49" s="77"/>
      <c r="R49" s="74"/>
      <c r="S49" s="77"/>
      <c r="T49" s="77"/>
      <c r="U49" s="77"/>
      <c r="V49" s="77"/>
      <c r="W49" s="77"/>
      <c r="X49" s="67"/>
      <c r="Y49" s="67"/>
      <c r="AE49" s="67"/>
      <c r="AK49" s="67"/>
      <c r="AP49" s="67"/>
      <c r="AQ49" s="67"/>
      <c r="BH49" s="67"/>
      <c r="BI49" s="67"/>
    </row>
    <row r="50" spans="1:61" s="65" customFormat="1">
      <c r="A50" s="63"/>
      <c r="B50" s="63"/>
      <c r="C50" s="63"/>
      <c r="D50" s="63"/>
      <c r="E50" s="63"/>
      <c r="F50" s="64"/>
      <c r="G50" s="64"/>
      <c r="J50" s="77"/>
      <c r="K50" s="77"/>
      <c r="L50" s="77"/>
      <c r="M50" s="77"/>
      <c r="N50" s="77"/>
      <c r="O50" s="77"/>
      <c r="P50" s="77"/>
      <c r="Q50" s="77"/>
      <c r="R50" s="74"/>
      <c r="S50" s="77"/>
      <c r="T50" s="77"/>
      <c r="U50" s="77"/>
      <c r="V50" s="77"/>
      <c r="W50" s="77"/>
      <c r="X50" s="67"/>
      <c r="Y50" s="67"/>
      <c r="AE50" s="67"/>
      <c r="AK50" s="67"/>
      <c r="AP50" s="67"/>
      <c r="AQ50" s="67"/>
      <c r="BH50" s="67"/>
      <c r="BI50" s="67"/>
    </row>
    <row r="51" spans="1:61">
      <c r="C51" s="61" t="s">
        <v>585</v>
      </c>
      <c r="E51" s="61" t="s">
        <v>585</v>
      </c>
      <c r="F51" s="61">
        <v>73000000</v>
      </c>
      <c r="G51" s="61">
        <f>F51</f>
        <v>73000000</v>
      </c>
    </row>
    <row r="52" spans="1:61" s="62" customFormat="1">
      <c r="C52" s="61" t="s">
        <v>586</v>
      </c>
      <c r="D52" s="61"/>
      <c r="E52" s="61" t="s">
        <v>586</v>
      </c>
      <c r="F52" s="61">
        <f>F16-F51</f>
        <v>-102194876</v>
      </c>
      <c r="G52" s="61">
        <f>G16-G51</f>
        <v>-109347707</v>
      </c>
      <c r="J52" s="82"/>
      <c r="K52" s="82"/>
      <c r="L52" s="82"/>
      <c r="M52" s="77"/>
      <c r="N52" s="77"/>
      <c r="O52" s="77"/>
      <c r="P52" s="77"/>
      <c r="Q52" s="77"/>
      <c r="R52" s="74"/>
      <c r="S52" s="77"/>
      <c r="T52" s="77"/>
      <c r="U52" s="77"/>
      <c r="V52" s="77"/>
      <c r="W52" s="77"/>
      <c r="X52" s="61"/>
      <c r="Y52" s="61"/>
      <c r="AE52" s="61"/>
      <c r="AK52" s="61"/>
      <c r="AP52" s="67"/>
      <c r="AQ52" s="61"/>
      <c r="BH52" s="61"/>
      <c r="BI52" s="61"/>
    </row>
    <row r="53" spans="1:61" s="62" customFormat="1">
      <c r="C53" s="61"/>
      <c r="D53" s="61"/>
      <c r="E53" s="61"/>
      <c r="F53" s="61"/>
      <c r="G53" s="61"/>
      <c r="J53" s="82"/>
      <c r="K53" s="82"/>
      <c r="L53" s="82"/>
      <c r="M53" s="77"/>
      <c r="N53" s="77"/>
      <c r="O53" s="77"/>
      <c r="P53" s="77"/>
      <c r="Q53" s="77"/>
      <c r="R53" s="74"/>
      <c r="S53" s="77"/>
      <c r="T53" s="77"/>
      <c r="U53" s="77"/>
      <c r="V53" s="77"/>
      <c r="W53" s="77"/>
      <c r="X53" s="61"/>
      <c r="Y53" s="61"/>
      <c r="AE53" s="61"/>
      <c r="AK53" s="61"/>
      <c r="AP53" s="67"/>
      <c r="AQ53" s="61"/>
      <c r="BH53" s="61"/>
      <c r="BI53" s="61"/>
    </row>
    <row r="54" spans="1:61" s="62" customFormat="1">
      <c r="C54" s="61" t="s">
        <v>587</v>
      </c>
      <c r="D54" s="61"/>
      <c r="E54" s="61" t="s">
        <v>587</v>
      </c>
      <c r="F54" s="61"/>
      <c r="G54" s="61"/>
      <c r="J54" s="82"/>
      <c r="K54" s="82"/>
      <c r="L54" s="82"/>
      <c r="M54" s="77"/>
      <c r="N54" s="77"/>
      <c r="O54" s="77"/>
      <c r="P54" s="77"/>
      <c r="Q54" s="77"/>
      <c r="R54" s="74"/>
      <c r="S54" s="77"/>
      <c r="T54" s="77"/>
      <c r="U54" s="77"/>
      <c r="V54" s="77"/>
      <c r="W54" s="77"/>
      <c r="X54" s="61"/>
      <c r="Y54" s="61"/>
      <c r="AE54" s="61"/>
      <c r="AK54" s="61"/>
      <c r="AP54" s="67"/>
      <c r="AQ54" s="61"/>
      <c r="BH54" s="61"/>
      <c r="BI54" s="61"/>
    </row>
    <row r="55" spans="1:61">
      <c r="B55">
        <v>1</v>
      </c>
      <c r="C55" s="47" t="s">
        <v>588</v>
      </c>
      <c r="D55" s="83" t="s">
        <v>655</v>
      </c>
      <c r="E55" s="47" t="s">
        <v>588</v>
      </c>
      <c r="G55" s="47">
        <f>'[3]tag cc hsbc lama 4439'!F48</f>
        <v>2551810.4539999999</v>
      </c>
    </row>
    <row r="56" spans="1:61">
      <c r="B56">
        <v>2</v>
      </c>
      <c r="C56" s="47" t="s">
        <v>589</v>
      </c>
      <c r="D56" s="83" t="s">
        <v>655</v>
      </c>
      <c r="E56" s="47" t="s">
        <v>589</v>
      </c>
      <c r="G56" s="47">
        <f>'[3]tag cc hsbc baru 6604'!F60</f>
        <v>807643</v>
      </c>
    </row>
    <row r="57" spans="1:61" ht="45">
      <c r="B57">
        <v>3</v>
      </c>
      <c r="C57" s="84" t="s">
        <v>590</v>
      </c>
      <c r="D57" s="83" t="s">
        <v>669</v>
      </c>
      <c r="E57" s="84" t="s">
        <v>590</v>
      </c>
      <c r="G57" s="47">
        <f>'[3]tag cc bri platinum 9007'!G27</f>
        <v>3635376</v>
      </c>
    </row>
    <row r="58" spans="1:61">
      <c r="B58">
        <v>4</v>
      </c>
      <c r="C58" s="55" t="s">
        <v>591</v>
      </c>
      <c r="D58" s="83" t="s">
        <v>669</v>
      </c>
      <c r="E58" s="55" t="s">
        <v>591</v>
      </c>
      <c r="F58" s="55"/>
      <c r="G58" s="55">
        <v>3756855</v>
      </c>
    </row>
    <row r="59" spans="1:61">
      <c r="G59" s="61">
        <f>SUM(G55:G58)</f>
        <v>10751684.454</v>
      </c>
    </row>
    <row r="61" spans="1:61">
      <c r="C61" s="61" t="s">
        <v>592</v>
      </c>
      <c r="E61" s="61" t="s">
        <v>592</v>
      </c>
      <c r="F61" s="61"/>
      <c r="G61" s="61">
        <f>G52-G59</f>
        <v>-120099391.454</v>
      </c>
    </row>
  </sheetData>
  <mergeCells count="16">
    <mergeCell ref="BF1:BG1"/>
    <mergeCell ref="BH1:BI1"/>
    <mergeCell ref="A45:G45"/>
    <mergeCell ref="AH1:AI1"/>
    <mergeCell ref="AJ1:AK1"/>
    <mergeCell ref="AL1:AM1"/>
    <mergeCell ref="AT1:AU1"/>
    <mergeCell ref="AR1:AS1"/>
    <mergeCell ref="AP1:AQ1"/>
    <mergeCell ref="AN1:AO1"/>
    <mergeCell ref="A16:E16"/>
    <mergeCell ref="BD1:BE1"/>
    <mergeCell ref="BB1:BC1"/>
    <mergeCell ref="AZ1:BA1"/>
    <mergeCell ref="AX1:AY1"/>
    <mergeCell ref="AV1:AW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5244-22B6-4251-A545-3F2064A73D2F}">
  <dimension ref="A1:AH14"/>
  <sheetViews>
    <sheetView zoomScaleNormal="100" workbookViewId="0">
      <selection activeCell="AM11" sqref="AM11"/>
    </sheetView>
  </sheetViews>
  <sheetFormatPr defaultRowHeight="15"/>
  <cols>
    <col min="2" max="2" width="11.140625" customWidth="1"/>
    <col min="3" max="3" width="15.28515625" customWidth="1"/>
    <col min="4" max="5" width="14.85546875" hidden="1" customWidth="1"/>
    <col min="6" max="7" width="13.140625" hidden="1" customWidth="1"/>
    <col min="8" max="8" width="12" hidden="1" customWidth="1"/>
    <col min="9" max="10" width="14" hidden="1" customWidth="1"/>
    <col min="11" max="11" width="11.140625" hidden="1" customWidth="1"/>
    <col min="12" max="12" width="15.85546875" hidden="1" customWidth="1"/>
    <col min="13" max="13" width="14.5703125" hidden="1" customWidth="1"/>
    <col min="14" max="16" width="11.140625" hidden="1" customWidth="1"/>
    <col min="17" max="17" width="0" hidden="1" customWidth="1"/>
    <col min="18" max="19" width="14.85546875" hidden="1" customWidth="1"/>
    <col min="20" max="20" width="13.42578125" hidden="1" customWidth="1"/>
    <col min="21" max="21" width="13.5703125" hidden="1" customWidth="1"/>
    <col min="22" max="22" width="13.85546875" hidden="1" customWidth="1"/>
    <col min="23" max="24" width="14.85546875" hidden="1" customWidth="1"/>
    <col min="25" max="25" width="12.7109375" hidden="1" customWidth="1"/>
    <col min="26" max="26" width="12" hidden="1" customWidth="1"/>
    <col min="27" max="27" width="14.85546875" hidden="1" customWidth="1"/>
    <col min="28" max="28" width="13.85546875" hidden="1" customWidth="1"/>
    <col min="29" max="29" width="12.85546875" hidden="1" customWidth="1"/>
    <col min="30" max="30" width="13.42578125" hidden="1" customWidth="1"/>
    <col min="31" max="31" width="15.140625" customWidth="1"/>
    <col min="32" max="32" width="11" customWidth="1"/>
    <col min="33" max="33" width="14.140625" customWidth="1"/>
    <col min="34" max="34" width="13.28515625" customWidth="1"/>
  </cols>
  <sheetData>
    <row r="1" spans="1:34" s="62" customFormat="1">
      <c r="D1" s="62">
        <v>1</v>
      </c>
      <c r="E1" s="424">
        <v>2</v>
      </c>
      <c r="F1" s="62">
        <v>3</v>
      </c>
      <c r="G1" s="62">
        <v>4</v>
      </c>
      <c r="H1" s="62">
        <v>5</v>
      </c>
      <c r="I1" s="62">
        <v>6</v>
      </c>
      <c r="K1" s="62">
        <v>7</v>
      </c>
      <c r="L1" s="62">
        <v>8</v>
      </c>
      <c r="M1" s="62">
        <v>9</v>
      </c>
      <c r="N1" s="62">
        <v>10</v>
      </c>
      <c r="O1" s="62">
        <v>11</v>
      </c>
      <c r="P1" s="62">
        <v>12</v>
      </c>
      <c r="Q1" s="62">
        <v>13</v>
      </c>
      <c r="R1" s="62">
        <v>14</v>
      </c>
      <c r="S1" s="62">
        <v>15</v>
      </c>
      <c r="T1" s="62">
        <v>16</v>
      </c>
      <c r="U1" s="62">
        <v>17</v>
      </c>
      <c r="V1" s="62">
        <v>18</v>
      </c>
      <c r="W1" s="62">
        <v>19</v>
      </c>
      <c r="X1" s="62">
        <v>20</v>
      </c>
      <c r="Y1" s="62">
        <v>21</v>
      </c>
      <c r="Z1" s="62">
        <v>22</v>
      </c>
      <c r="AA1" s="62">
        <v>23</v>
      </c>
      <c r="AB1" s="62">
        <v>24</v>
      </c>
      <c r="AC1" s="62">
        <v>25</v>
      </c>
      <c r="AD1" s="424">
        <v>26</v>
      </c>
      <c r="AE1" s="62">
        <v>27</v>
      </c>
      <c r="AF1" s="62">
        <v>28</v>
      </c>
      <c r="AG1" s="62">
        <v>29</v>
      </c>
      <c r="AH1" s="62">
        <v>30</v>
      </c>
    </row>
    <row r="2" spans="1:34">
      <c r="A2" s="85"/>
      <c r="B2" s="85"/>
      <c r="C2" s="85"/>
      <c r="D2" s="776" t="s">
        <v>670</v>
      </c>
      <c r="E2" s="777"/>
      <c r="F2" s="778" t="s">
        <v>671</v>
      </c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80"/>
      <c r="R2" s="777" t="s">
        <v>2</v>
      </c>
      <c r="S2" s="777"/>
      <c r="T2" s="778" t="s">
        <v>672</v>
      </c>
      <c r="U2" s="779"/>
      <c r="V2" s="779"/>
      <c r="W2" s="780"/>
      <c r="X2" s="777" t="s">
        <v>3</v>
      </c>
      <c r="Y2" s="777"/>
      <c r="Z2" s="781" t="s">
        <v>673</v>
      </c>
      <c r="AA2" s="782"/>
      <c r="AB2" s="782"/>
      <c r="AC2" s="783"/>
      <c r="AD2" s="700" t="s">
        <v>674</v>
      </c>
      <c r="AE2" s="773" t="s">
        <v>675</v>
      </c>
      <c r="AF2" s="773"/>
      <c r="AG2" s="773"/>
      <c r="AH2" s="773"/>
    </row>
    <row r="3" spans="1:34" ht="26.25">
      <c r="A3" s="394" t="s">
        <v>676</v>
      </c>
      <c r="B3" s="394" t="s">
        <v>677</v>
      </c>
      <c r="C3" s="394" t="s">
        <v>678</v>
      </c>
      <c r="D3" s="385" t="s">
        <v>7</v>
      </c>
      <c r="E3" s="385" t="s">
        <v>0</v>
      </c>
      <c r="F3" s="386" t="s">
        <v>0</v>
      </c>
      <c r="G3" s="386" t="s">
        <v>5</v>
      </c>
      <c r="H3" s="386" t="s">
        <v>679</v>
      </c>
      <c r="I3" s="387" t="s">
        <v>680</v>
      </c>
      <c r="J3" s="387" t="s">
        <v>681</v>
      </c>
      <c r="K3" s="386" t="s">
        <v>6</v>
      </c>
      <c r="L3" s="386" t="s">
        <v>682</v>
      </c>
      <c r="M3" s="386" t="s">
        <v>683</v>
      </c>
      <c r="N3" s="386" t="s">
        <v>684</v>
      </c>
      <c r="O3" s="386" t="s">
        <v>685</v>
      </c>
      <c r="P3" s="386" t="s">
        <v>686</v>
      </c>
      <c r="Q3" s="386" t="s">
        <v>687</v>
      </c>
      <c r="R3" s="385" t="s">
        <v>0</v>
      </c>
      <c r="S3" s="385" t="s">
        <v>4</v>
      </c>
      <c r="T3" s="386" t="s">
        <v>688</v>
      </c>
      <c r="U3" s="425" t="s">
        <v>680</v>
      </c>
      <c r="V3" s="387" t="s">
        <v>7</v>
      </c>
      <c r="W3" s="386" t="s">
        <v>0</v>
      </c>
      <c r="X3" s="385" t="s">
        <v>5</v>
      </c>
      <c r="Y3" s="385" t="s">
        <v>0</v>
      </c>
      <c r="Z3" s="386" t="s">
        <v>689</v>
      </c>
      <c r="AA3" s="386" t="s">
        <v>674</v>
      </c>
      <c r="AB3" s="386" t="s">
        <v>4</v>
      </c>
      <c r="AC3" s="386" t="s">
        <v>690</v>
      </c>
      <c r="AD3" s="385" t="s">
        <v>691</v>
      </c>
      <c r="AE3" s="391" t="s">
        <v>692</v>
      </c>
      <c r="AF3" s="391" t="s">
        <v>693</v>
      </c>
      <c r="AG3" s="392" t="s">
        <v>694</v>
      </c>
      <c r="AH3" s="392" t="s">
        <v>695</v>
      </c>
    </row>
    <row r="4" spans="1:34" s="388" customFormat="1">
      <c r="A4" s="774">
        <v>45736</v>
      </c>
      <c r="B4" s="389" t="s">
        <v>696</v>
      </c>
      <c r="C4" s="133">
        <f>SUM(D4:AH4)</f>
        <v>5064796</v>
      </c>
      <c r="D4" s="390"/>
      <c r="E4" s="389"/>
      <c r="F4" s="390"/>
      <c r="G4" s="389"/>
      <c r="H4" s="389"/>
      <c r="I4" s="426"/>
      <c r="J4" s="426"/>
      <c r="K4" s="389"/>
      <c r="L4" s="133"/>
      <c r="M4" s="133"/>
      <c r="N4" s="133"/>
      <c r="O4" s="133"/>
      <c r="P4" s="133"/>
      <c r="Q4" s="133"/>
      <c r="R4" s="395"/>
      <c r="S4" s="389"/>
      <c r="T4" s="389"/>
      <c r="U4" s="389"/>
      <c r="V4" s="390"/>
      <c r="W4" s="390"/>
      <c r="X4" s="396"/>
      <c r="Y4" s="389"/>
      <c r="Z4" s="389"/>
      <c r="AA4" s="397"/>
      <c r="AB4" s="389"/>
      <c r="AC4" s="389"/>
      <c r="AD4" s="389"/>
      <c r="AE4" s="389"/>
      <c r="AF4" s="428">
        <v>5064796</v>
      </c>
      <c r="AG4" s="389"/>
      <c r="AH4" s="389"/>
    </row>
    <row r="5" spans="1:34" s="47" customFormat="1">
      <c r="A5" s="775"/>
      <c r="B5" s="393" t="s">
        <v>697</v>
      </c>
      <c r="C5" s="133">
        <f>SUM(D5:AH5)</f>
        <v>5064796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>
        <f>AF4</f>
        <v>5064796</v>
      </c>
      <c r="AG5" s="133"/>
      <c r="AH5" s="133"/>
    </row>
    <row r="6" spans="1:34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</row>
    <row r="7" spans="1:34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</row>
    <row r="8" spans="1:34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</row>
    <row r="9" spans="1:34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</row>
    <row r="10" spans="1:34">
      <c r="A10" s="85"/>
      <c r="B10" s="85"/>
      <c r="C10" s="85"/>
      <c r="D10" s="85"/>
      <c r="E10" s="85"/>
      <c r="F10" s="427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</row>
    <row r="11" spans="1:34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</row>
    <row r="12" spans="1:34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</row>
    <row r="13" spans="1:34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</row>
    <row r="14" spans="1:3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</row>
  </sheetData>
  <mergeCells count="8">
    <mergeCell ref="AE2:AH2"/>
    <mergeCell ref="A4:A5"/>
    <mergeCell ref="D2:E2"/>
    <mergeCell ref="F2:Q2"/>
    <mergeCell ref="R2:S2"/>
    <mergeCell ref="T2:W2"/>
    <mergeCell ref="X2:Y2"/>
    <mergeCell ref="Z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</vt:i4>
      </vt:variant>
    </vt:vector>
  </HeadingPairs>
  <TitlesOfParts>
    <vt:vector size="35" baseType="lpstr">
      <vt:lpstr>Graph</vt:lpstr>
      <vt:lpstr>CF Realisasi</vt:lpstr>
      <vt:lpstr>CF Realisasi new</vt:lpstr>
      <vt:lpstr>IN-ACC-Piutang &amp; Revenue</vt:lpstr>
      <vt:lpstr>IN-CFC-Penerimaan PengemPinj</vt:lpstr>
      <vt:lpstr>IN-CFC-Suntikan Modal</vt:lpstr>
      <vt:lpstr>OUT-ACC-PAJAK</vt:lpstr>
      <vt:lpstr>OUT - HR - Gaji &amp; Benefit</vt:lpstr>
      <vt:lpstr>OUT - CFC - Corporate Expenses</vt:lpstr>
      <vt:lpstr>OUT - ACC - Ops Kantor</vt:lpstr>
      <vt:lpstr>OUT-ACS-OPS</vt:lpstr>
      <vt:lpstr>OUT-BAS-OPS</vt:lpstr>
      <vt:lpstr>OUT-BID-OPS</vt:lpstr>
      <vt:lpstr>OUT-CFC-OPS</vt:lpstr>
      <vt:lpstr>OUT-GA-OPS</vt:lpstr>
      <vt:lpstr>OUT-HR-OPS</vt:lpstr>
      <vt:lpstr>OUT-PD-OPS</vt:lpstr>
      <vt:lpstr>OUT-SS-OPS</vt:lpstr>
      <vt:lpstr>OUT-SO-OPS</vt:lpstr>
      <vt:lpstr>OUT-TEP-OPS</vt:lpstr>
      <vt:lpstr>OUT-RESERVASI-OPS</vt:lpstr>
      <vt:lpstr>OUT-TAKSHAKA-OPS</vt:lpstr>
      <vt:lpstr>OUT - CFC - Bunga &amp; Angsuran</vt:lpstr>
      <vt:lpstr>OUT - TEP - Cost Of Revenue</vt:lpstr>
      <vt:lpstr>OUT - CFC - Hutang Usaha</vt:lpstr>
      <vt:lpstr>OUT - HR - Pemberian Pinjaman</vt:lpstr>
      <vt:lpstr>OUT - TEP - Sales Call</vt:lpstr>
      <vt:lpstr>OUT-CFC -Pengem Sunti Modal Own</vt:lpstr>
      <vt:lpstr>OUT - CF.12 Ops All Dept</vt:lpstr>
      <vt:lpstr>IN-Pengem Pinj Pokok</vt:lpstr>
      <vt:lpstr>Saldo 2023</vt:lpstr>
      <vt:lpstr>Saldo 2021</vt:lpstr>
      <vt:lpstr>20mar-BALI</vt:lpstr>
      <vt:lpstr>'CF Realisasi new'!Cash_minimum</vt:lpstr>
      <vt:lpstr>Cash_minimum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Pramuji WG</cp:lastModifiedBy>
  <cp:revision/>
  <dcterms:created xsi:type="dcterms:W3CDTF">2021-08-13T00:48:44Z</dcterms:created>
  <dcterms:modified xsi:type="dcterms:W3CDTF">2026-02-18T08:00:08Z</dcterms:modified>
  <cp:category/>
  <cp:contentStatus/>
</cp:coreProperties>
</file>